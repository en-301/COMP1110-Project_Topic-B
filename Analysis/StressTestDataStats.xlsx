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icn\Documents\学校\HKU\UG Y1S2\COMP1110\Project\COMP1110-Project_Topic-B\Analysis\"/>
    </mc:Choice>
  </mc:AlternateContent>
  <xr:revisionPtr revIDLastSave="0" documentId="13_ncr:9_{AABFA6AF-A120-4A38-A518-8BD33F121ABE}" xr6:coauthVersionLast="47" xr6:coauthVersionMax="47" xr10:uidLastSave="{00000000-0000-0000-0000-000000000000}"/>
  <bookViews>
    <workbookView xWindow="-98" yWindow="-98" windowWidth="21795" windowHeight="12975" xr2:uid="{FF5D9C2B-8DF7-4B54-8644-8AA0B2E30922}"/>
  </bookViews>
  <sheets>
    <sheet name="StressTestDataStats" sheetId="1" r:id="rId1"/>
  </sheets>
  <definedNames>
    <definedName name="_xlnm._FilterDatabase" localSheetId="0" hidden="1">StressTestDataStats!$C$2:$D$302</definedName>
    <definedName name="_xlchart.v1.0" hidden="1">StressTestDataStats!$C$2</definedName>
    <definedName name="_xlchart.v1.1" hidden="1">StressTestDataStats!$C$3:$C$302</definedName>
    <definedName name="_xlchart.v1.2" hidden="1">StressTestDataStats!$C$2</definedName>
    <definedName name="_xlchart.v1.3" hidden="1">StressTestDataStats!$C$3:$C$302</definedName>
    <definedName name="_xlchart.v1.4" hidden="1">StressTestDataStats!$C$2</definedName>
    <definedName name="_xlchart.v1.5" hidden="1">StressTestDataStats!$C$3:$C$302</definedName>
  </definedNames>
  <calcPr calcId="0"/>
</workbook>
</file>

<file path=xl/calcChain.xml><?xml version="1.0" encoding="utf-8"?>
<calcChain xmlns="http://schemas.openxmlformats.org/spreadsheetml/2006/main">
  <c r="N4" i="1" l="1"/>
  <c r="N3" i="1"/>
  <c r="H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" i="1"/>
  <c r="K3" i="1" l="1"/>
  <c r="H3" i="1"/>
  <c r="H4" i="1"/>
  <c r="H5" i="1"/>
  <c r="K4" i="1"/>
  <c r="D58" i="1" l="1"/>
  <c r="K5" i="1"/>
  <c r="K6" i="1" s="1"/>
  <c r="D84" i="1"/>
  <c r="D83" i="1"/>
  <c r="D253" i="1" l="1"/>
  <c r="D290" i="1"/>
  <c r="D234" i="1"/>
  <c r="D63" i="1"/>
  <c r="D289" i="1"/>
  <c r="D272" i="1"/>
  <c r="D212" i="1"/>
  <c r="D161" i="1"/>
  <c r="D297" i="1"/>
  <c r="D209" i="1"/>
  <c r="D11" i="1"/>
  <c r="D44" i="1"/>
  <c r="D244" i="1"/>
  <c r="D33" i="1"/>
  <c r="D215" i="1"/>
  <c r="D118" i="1"/>
  <c r="D149" i="1"/>
  <c r="D276" i="1"/>
  <c r="D214" i="1"/>
  <c r="D49" i="1"/>
  <c r="D114" i="1"/>
  <c r="D270" i="1"/>
  <c r="D139" i="1"/>
  <c r="D192" i="1"/>
  <c r="D70" i="1"/>
  <c r="D168" i="1"/>
  <c r="D189" i="1"/>
  <c r="D96" i="1"/>
  <c r="D19" i="1"/>
  <c r="D65" i="1"/>
  <c r="D227" i="1"/>
  <c r="D32" i="1"/>
  <c r="D129" i="1"/>
  <c r="D154" i="1"/>
  <c r="D167" i="1"/>
  <c r="D160" i="1"/>
  <c r="D30" i="1"/>
  <c r="D165" i="1"/>
  <c r="D135" i="1"/>
  <c r="D121" i="1"/>
  <c r="D188" i="1"/>
  <c r="D95" i="1"/>
  <c r="D223" i="1"/>
  <c r="D283" i="1"/>
  <c r="D66" i="1"/>
  <c r="D138" i="1"/>
  <c r="D142" i="1"/>
  <c r="D280" i="1"/>
  <c r="D112" i="1"/>
  <c r="D271" i="1"/>
  <c r="D286" i="1"/>
  <c r="D225" i="1"/>
  <c r="D59" i="1"/>
  <c r="D74" i="1"/>
  <c r="D60" i="1"/>
  <c r="D279" i="1"/>
  <c r="D184" i="1"/>
  <c r="D275" i="1"/>
  <c r="D69" i="1"/>
  <c r="D5" i="1"/>
  <c r="D233" i="1"/>
  <c r="D295" i="1"/>
  <c r="D128" i="1"/>
  <c r="D218" i="1"/>
  <c r="D176" i="1"/>
  <c r="D38" i="1"/>
  <c r="D152" i="1"/>
  <c r="D299" i="1"/>
  <c r="D301" i="1"/>
  <c r="D150" i="1"/>
  <c r="D199" i="1"/>
  <c r="D111" i="1"/>
  <c r="D64" i="1"/>
  <c r="D67" i="1"/>
  <c r="D182" i="1"/>
  <c r="D115" i="1"/>
  <c r="D7" i="1"/>
  <c r="D41" i="1"/>
  <c r="D133" i="1"/>
  <c r="D119" i="1"/>
  <c r="D105" i="1"/>
  <c r="D236" i="1"/>
  <c r="D172" i="1"/>
  <c r="D206" i="1"/>
  <c r="D130" i="1"/>
  <c r="D136" i="1"/>
  <c r="D267" i="1"/>
  <c r="D187" i="1"/>
  <c r="D40" i="1"/>
  <c r="D255" i="1"/>
  <c r="D125" i="1"/>
  <c r="D56" i="1"/>
  <c r="D101" i="1"/>
  <c r="D166" i="1"/>
  <c r="D85" i="1"/>
  <c r="D193" i="1"/>
  <c r="D256" i="1"/>
  <c r="D61" i="1"/>
  <c r="D137" i="1"/>
  <c r="D273" i="1"/>
  <c r="D78" i="1"/>
  <c r="D126" i="1"/>
  <c r="D178" i="1"/>
  <c r="D252" i="1"/>
  <c r="D222" i="1"/>
  <c r="D207" i="1"/>
  <c r="D246" i="1"/>
  <c r="D106" i="1"/>
  <c r="D110" i="1"/>
  <c r="D99" i="1"/>
  <c r="D89" i="1"/>
  <c r="D157" i="1"/>
  <c r="D263" i="1"/>
  <c r="D27" i="1"/>
  <c r="D278" i="1"/>
  <c r="D39" i="1"/>
  <c r="D68" i="1"/>
  <c r="D117" i="1"/>
  <c r="D298" i="1"/>
  <c r="D42" i="1"/>
  <c r="D29" i="1"/>
  <c r="D282" i="1"/>
  <c r="D36" i="1"/>
  <c r="D211" i="1"/>
  <c r="D240" i="1"/>
  <c r="D122" i="1"/>
  <c r="D213" i="1"/>
  <c r="D120" i="1"/>
  <c r="D109" i="1"/>
  <c r="D153" i="1"/>
  <c r="D113" i="1"/>
  <c r="D80" i="1"/>
  <c r="D50" i="1"/>
  <c r="D216" i="1"/>
  <c r="D24" i="1"/>
  <c r="D266" i="1"/>
  <c r="D162" i="1"/>
  <c r="D73" i="1"/>
  <c r="D224" i="1"/>
  <c r="D93" i="1"/>
  <c r="D284" i="1"/>
  <c r="D247" i="1"/>
  <c r="D175" i="1"/>
  <c r="D79" i="1"/>
  <c r="D21" i="1"/>
  <c r="D231" i="1"/>
  <c r="D23" i="1"/>
  <c r="D55" i="1"/>
  <c r="D87" i="1"/>
  <c r="D26" i="1"/>
  <c r="D196" i="1"/>
  <c r="D220" i="1"/>
  <c r="D156" i="1"/>
  <c r="D219" i="1"/>
  <c r="D292" i="1"/>
  <c r="D217" i="1"/>
  <c r="D202" i="1"/>
  <c r="D48" i="1"/>
  <c r="D262" i="1"/>
  <c r="D291" i="1"/>
  <c r="D274" i="1"/>
  <c r="D170" i="1"/>
  <c r="D250" i="1"/>
  <c r="D171" i="1"/>
  <c r="D3" i="1"/>
  <c r="D54" i="1"/>
  <c r="D92" i="1"/>
  <c r="D28" i="1"/>
  <c r="D245" i="1"/>
  <c r="D51" i="1"/>
  <c r="D242" i="1"/>
  <c r="D9" i="1"/>
  <c r="D254" i="1"/>
  <c r="D35" i="1"/>
  <c r="D127" i="1"/>
  <c r="D20" i="1"/>
  <c r="D72" i="1"/>
  <c r="D104" i="1"/>
  <c r="D46" i="1"/>
  <c r="D208" i="1"/>
  <c r="D102" i="1"/>
  <c r="D77" i="1"/>
  <c r="D13" i="1"/>
  <c r="D14" i="1"/>
  <c r="D103" i="1"/>
  <c r="D47" i="1"/>
  <c r="D181" i="1"/>
  <c r="D235" i="1"/>
  <c r="D232" i="1"/>
  <c r="D248" i="1"/>
  <c r="D31" i="1"/>
  <c r="D259" i="1"/>
  <c r="D191" i="1"/>
  <c r="D94" i="1"/>
  <c r="D155" i="1"/>
  <c r="D53" i="1"/>
  <c r="D132" i="1"/>
  <c r="D169" i="1"/>
  <c r="D144" i="1"/>
  <c r="D25" i="1"/>
  <c r="D57" i="1"/>
  <c r="D15" i="1"/>
  <c r="D197" i="1"/>
  <c r="D151" i="1"/>
  <c r="D76" i="1"/>
  <c r="D269" i="1"/>
  <c r="D285" i="1"/>
  <c r="D124" i="1"/>
  <c r="D180" i="1"/>
  <c r="D62" i="1"/>
  <c r="D251" i="1"/>
  <c r="D200" i="1"/>
  <c r="D98" i="1"/>
  <c r="D190" i="1"/>
  <c r="D8" i="1"/>
  <c r="D294" i="1"/>
  <c r="D34" i="1"/>
  <c r="D249" i="1"/>
  <c r="D86" i="1"/>
  <c r="D146" i="1"/>
  <c r="D107" i="1"/>
  <c r="D10" i="1"/>
  <c r="D287" i="1"/>
  <c r="D22" i="1"/>
  <c r="D91" i="1"/>
  <c r="D108" i="1"/>
  <c r="D141" i="1"/>
  <c r="D37" i="1"/>
  <c r="D174" i="1"/>
  <c r="D4" i="1"/>
  <c r="D177" i="1"/>
  <c r="D265" i="1"/>
  <c r="D281" i="1"/>
  <c r="D131" i="1"/>
  <c r="D147" i="1"/>
  <c r="D194" i="1"/>
  <c r="D241" i="1"/>
  <c r="D229" i="1"/>
  <c r="D268" i="1"/>
  <c r="D198" i="1"/>
  <c r="D90" i="1"/>
  <c r="D258" i="1"/>
  <c r="D243" i="1"/>
  <c r="D186" i="1"/>
  <c r="D18" i="1"/>
  <c r="D230" i="1"/>
  <c r="D81" i="1"/>
  <c r="D228" i="1"/>
  <c r="D52" i="1"/>
  <c r="D75" i="1"/>
  <c r="D100" i="1"/>
  <c r="D116" i="1"/>
  <c r="D163" i="1"/>
  <c r="D210" i="1"/>
  <c r="D257" i="1"/>
  <c r="D221" i="1"/>
  <c r="D173" i="1"/>
  <c r="D140" i="1"/>
  <c r="D238" i="1"/>
  <c r="D260" i="1"/>
  <c r="D159" i="1"/>
  <c r="D82" i="1"/>
  <c r="D296" i="1"/>
  <c r="D16" i="1"/>
  <c r="D145" i="1"/>
  <c r="D143" i="1"/>
  <c r="D288" i="1"/>
  <c r="D97" i="1"/>
  <c r="D71" i="1"/>
  <c r="D261" i="1"/>
  <c r="D277" i="1"/>
  <c r="D148" i="1"/>
  <c r="D179" i="1"/>
  <c r="D226" i="1"/>
  <c r="D205" i="1"/>
  <c r="D45" i="1"/>
  <c r="D12" i="1"/>
  <c r="D237" i="1"/>
  <c r="D264" i="1"/>
  <c r="D239" i="1"/>
  <c r="D201" i="1"/>
  <c r="D17" i="1"/>
  <c r="D123" i="1"/>
  <c r="D43" i="1"/>
  <c r="D158" i="1"/>
  <c r="D185" i="1"/>
  <c r="D183" i="1"/>
  <c r="D134" i="1"/>
  <c r="D88" i="1"/>
  <c r="D203" i="1"/>
  <c r="D6" i="1"/>
  <c r="D293" i="1"/>
  <c r="D164" i="1"/>
  <c r="D195" i="1"/>
  <c r="D204" i="1"/>
  <c r="D300" i="1"/>
  <c r="D302" i="1"/>
</calcChain>
</file>

<file path=xl/sharedStrings.xml><?xml version="1.0" encoding="utf-8"?>
<sst xmlns="http://schemas.openxmlformats.org/spreadsheetml/2006/main" count="12" uniqueCount="12">
  <si>
    <t>Execution Time (ms)</t>
    <phoneticPr fontId="18" type="noConversion"/>
  </si>
  <si>
    <t>Mean</t>
    <phoneticPr fontId="18" type="noConversion"/>
  </si>
  <si>
    <t>Median</t>
    <phoneticPr fontId="18" type="noConversion"/>
  </si>
  <si>
    <t>Standard Deviation</t>
    <phoneticPr fontId="18" type="noConversion"/>
  </si>
  <si>
    <t>Q1</t>
    <phoneticPr fontId="18" type="noConversion"/>
  </si>
  <si>
    <t>Q3</t>
    <phoneticPr fontId="18" type="noConversion"/>
  </si>
  <si>
    <t>IQR</t>
    <phoneticPr fontId="18" type="noConversion"/>
  </si>
  <si>
    <t>Outliers</t>
    <phoneticPr fontId="18" type="noConversion"/>
  </si>
  <si>
    <t>Is Outlier?</t>
    <phoneticPr fontId="18" type="noConversion"/>
  </si>
  <si>
    <t>Execution Time (s)</t>
    <phoneticPr fontId="18" type="noConversion"/>
  </si>
  <si>
    <t>Lower bonud</t>
    <phoneticPr fontId="18" type="noConversion"/>
  </si>
  <si>
    <t>Upper bound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</si>
</sst>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3" formatCode="0.000000000000"/>
    <numFmt numFmtId="184" formatCode="0.0000000000000"/>
    <numFmt numFmtId="191" formatCode="0.0000%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3" fontId="0" fillId="0" borderId="0" xfId="0" applyNumberFormat="1">
      <alignment vertical="center"/>
    </xf>
    <xf numFmtId="184" fontId="0" fillId="0" borderId="0" xfId="0" applyNumberFormat="1">
      <alignment vertical="center"/>
    </xf>
    <xf numFmtId="191" fontId="0" fillId="0" borderId="0" xfId="1" applyNumberFormat="1" applyFont="1">
      <alignment vertical="center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ITC Avant Garde Gothic Pro" panose="020B0502020202020204" pitchFamily="34" charset="0"/>
                <a:ea typeface="ITC Avant Garde Gothic Pro" panose="020B0502020202020204" pitchFamily="34" charset="0"/>
                <a:cs typeface="ITC Avant Garde Gothic Pro" panose="020B0502020202020204" pitchFamily="34" charset="0"/>
              </a:defRPr>
            </a:pPr>
            <a:r>
              <a:rPr lang="en-US" altLang="zh-CN" sz="1400" b="0" i="0" u="none" strike="noStrike" baseline="0">
                <a:solidFill>
                  <a:sysClr val="windowText" lastClr="000000"/>
                </a:solidFill>
                <a:latin typeface="ITC Avant Garde Gothic Pro" panose="020B0502020202020204" pitchFamily="34" charset="0"/>
                <a:ea typeface="等线" panose="02010600030101010101" pitchFamily="2" charset="-122"/>
              </a:rPr>
              <a:t>Execution time per graph (ms)</a:t>
            </a:r>
            <a:endParaRPr lang="zh-CN" altLang="en-US" sz="1400" b="0" i="0" u="none" strike="noStrike" baseline="0">
              <a:solidFill>
                <a:sysClr val="windowText" lastClr="000000"/>
              </a:solidFill>
              <a:latin typeface="ITC Avant Garde Gothic Pro" panose="020B0502020202020204" pitchFamily="34" charset="0"/>
              <a:ea typeface="等线" panose="02010600030101010101" pitchFamily="2" charset="-122"/>
            </a:endParaRPr>
          </a:p>
        </cx:rich>
      </cx:tx>
    </cx:title>
    <cx:plotArea>
      <cx:plotAreaRegion>
        <cx:series layoutId="clusteredColumn" uniqueId="{70E13165-9597-4191-919F-5070A671D29B}">
          <cx:tx>
            <cx:txData>
              <cx:f>_xlchart.v1.2</cx:f>
              <cx:v>Execution Time (ms)</cx:v>
            </cx:txData>
          </cx:tx>
          <cx:spPr>
            <a:solidFill>
              <a:schemeClr val="accent2"/>
            </a:solidFill>
            <a:ln w="9525">
              <a:solidFill>
                <a:schemeClr val="accent1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Helvetica Neue" panose="02000503040000020004" pitchFamily="2" charset="-52"/>
                    <a:ea typeface="Helvetica Neue" panose="02000503040000020004" pitchFamily="2" charset="-52"/>
                    <a:cs typeface="Helvetica Neue" panose="02000503040000020004" pitchFamily="2" charset="-52"/>
                  </a:defRPr>
                </a:pPr>
                <a:endParaRPr lang="zh-CN" alt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Helvetica Neue" panose="02000503040000020004" pitchFamily="2" charset="-52"/>
                  <a:ea typeface="等线" panose="02010600030101010101" pitchFamily="2" charset="-122"/>
                </a:endParaRPr>
              </a:p>
            </cx:txPr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majorTickMarks type="out"/>
        <cx:tickLabels/>
        <cx:numFmt formatCode="0_);[红色](0)" sourceLinked="0"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  <a:latin typeface="Helvetica Neue" panose="02000503040000020004" pitchFamily="2" charset="-52"/>
                <a:ea typeface="Helvetica Neue" panose="02000503040000020004" pitchFamily="2" charset="-52"/>
                <a:cs typeface="Helvetica Neue" panose="02000503040000020004" pitchFamily="2" charset="-52"/>
              </a:defRPr>
            </a:pPr>
            <a:endParaRPr lang="zh-CN" altLang="en-US" sz="900" b="0" i="0" u="none" strike="noStrike" baseline="0">
              <a:solidFill>
                <a:sysClr val="windowText" lastClr="000000"/>
              </a:solidFill>
              <a:latin typeface="Helvetica Neue" panose="02000503040000020004" pitchFamily="2" charset="-52"/>
              <a:ea typeface="等线" panose="02010600030101010101" pitchFamily="2" charset="-122"/>
            </a:endParaRPr>
          </a:p>
        </cx:txPr>
      </cx:axis>
      <cx:axis id="1">
        <cx:valScaling/>
        <cx:majorGridlines>
          <cx:spPr>
            <a:ln w="6350">
              <a:solidFill>
                <a:schemeClr val="accent1"/>
              </a:solidFill>
            </a:ln>
          </cx:spPr>
        </cx:majorGridlines>
        <cx:tickLabels/>
        <cx:spPr>
          <a:ln w="0">
            <a:solidFill>
              <a:schemeClr val="accent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accent1"/>
                </a:solidFill>
                <a:latin typeface="Helvetica Neue" panose="02000503040000020004" pitchFamily="2" charset="-52"/>
                <a:ea typeface="Helvetica Neue" panose="02000503040000020004" pitchFamily="2" charset="-52"/>
                <a:cs typeface="Helvetica Neue" panose="02000503040000020004" pitchFamily="2" charset="-52"/>
              </a:defRPr>
            </a:pPr>
            <a:endParaRPr lang="zh-CN" altLang="en-US" sz="900" b="1" i="0" u="none" strike="noStrike" baseline="0">
              <a:solidFill>
                <a:schemeClr val="accent1"/>
              </a:solidFill>
              <a:latin typeface="Helvetica Neue" panose="02000503040000020004" pitchFamily="2" charset="-52"/>
              <a:ea typeface="等线" panose="02010600030101010101" pitchFamily="2" charset="-122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465141</xdr:colOff>
      <xdr:row>8</xdr:row>
      <xdr:rowOff>71172</xdr:rowOff>
    </xdr:from>
    <xdr:to>
      <xdr:col>16</xdr:col>
      <xdr:colOff>92898</xdr:colOff>
      <xdr:row>28</xdr:row>
      <xdr:rowOff>115829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5B0E6F6B-C9D5-BEAF-A47E-4ABD8811A7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2641" y="1468172"/>
              <a:ext cx="6887924" cy="3537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muted">
      <a:dk1>
        <a:srgbClr val="000000"/>
      </a:dk1>
      <a:lt1>
        <a:srgbClr val="FFFFFF"/>
      </a:lt1>
      <a:dk2>
        <a:srgbClr val="262626"/>
      </a:dk2>
      <a:lt2>
        <a:srgbClr val="FFFFFF"/>
      </a:lt2>
      <a:accent1>
        <a:srgbClr val="7F7F7F"/>
      </a:accent1>
      <a:accent2>
        <a:srgbClr val="D8D9D9"/>
      </a:accent2>
      <a:accent3>
        <a:srgbClr val="FF3355"/>
      </a:accent3>
      <a:accent4>
        <a:srgbClr val="FFCC00"/>
      </a:accent4>
      <a:accent5>
        <a:srgbClr val="33FF99"/>
      </a:accent5>
      <a:accent6>
        <a:srgbClr val="33AAFF"/>
      </a:accent6>
      <a:hlink>
        <a:srgbClr val="7F7F7F"/>
      </a:hlink>
      <a:folHlink>
        <a:srgbClr val="7F7F7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E319-4D15-41F0-A25D-7BBB6BE18D94}">
  <dimension ref="B2:N302"/>
  <sheetViews>
    <sheetView tabSelected="1" topLeftCell="D1" zoomScale="104" zoomScaleNormal="66" workbookViewId="0">
      <selection activeCell="N5" sqref="N5"/>
    </sheetView>
  </sheetViews>
  <sheetFormatPr defaultRowHeight="13.9" x14ac:dyDescent="0.4"/>
  <cols>
    <col min="6" max="6" width="12.59765625" bestFit="1" customWidth="1"/>
    <col min="7" max="7" width="11.9296875" bestFit="1" customWidth="1"/>
    <col min="8" max="8" width="17.3984375" bestFit="1" customWidth="1"/>
  </cols>
  <sheetData>
    <row r="2" spans="2:14" x14ac:dyDescent="0.4">
      <c r="B2" t="s">
        <v>9</v>
      </c>
      <c r="C2" t="s">
        <v>0</v>
      </c>
      <c r="D2" t="s">
        <v>8</v>
      </c>
      <c r="E2" t="s">
        <v>7</v>
      </c>
    </row>
    <row r="3" spans="2:14" x14ac:dyDescent="0.4">
      <c r="B3">
        <v>0.246477100001357</v>
      </c>
      <c r="C3">
        <f>B3*1000</f>
        <v>246.477100001357</v>
      </c>
      <c r="D3" t="b">
        <f>OR(C3&lt;($K$3-1.5*$K$5),C3&gt;($K$4+1.5*$K$5))</f>
        <v>1</v>
      </c>
      <c r="E3">
        <v>246.477100001357</v>
      </c>
      <c r="G3" t="s">
        <v>1</v>
      </c>
      <c r="H3" s="1">
        <f>AVERAGE(C3:C302)</f>
        <v>344.7784809999817</v>
      </c>
      <c r="J3" t="s">
        <v>4</v>
      </c>
      <c r="K3">
        <f>_xlfn.QUARTILE.EXC(C3:C302,1)</f>
        <v>318.6434999988702</v>
      </c>
      <c r="M3" t="s">
        <v>10</v>
      </c>
      <c r="N3">
        <f>K3-1.5*K5</f>
        <v>257.2455749975685</v>
      </c>
    </row>
    <row r="4" spans="2:14" x14ac:dyDescent="0.4">
      <c r="B4">
        <v>0.26112769999963298</v>
      </c>
      <c r="C4">
        <f t="shared" ref="C4:C67" si="0">B4*1000</f>
        <v>261.12769999963297</v>
      </c>
      <c r="D4" t="b">
        <f t="shared" ref="D4:D67" si="1">OR(C4&lt;($K$3-1.5*$K$5),C4&gt;($K$4+1.5*$K$5))</f>
        <v>0</v>
      </c>
      <c r="E4">
        <v>421.95100000026196</v>
      </c>
      <c r="G4" t="s">
        <v>2</v>
      </c>
      <c r="H4" s="1">
        <f>MEDIAN(C3:C302)</f>
        <v>337.43205000064302</v>
      </c>
      <c r="J4" t="s">
        <v>5</v>
      </c>
      <c r="K4">
        <f>_xlfn.QUARTILE.EXC(C3:C303,3)</f>
        <v>359.575449999738</v>
      </c>
      <c r="M4" t="s">
        <v>11</v>
      </c>
      <c r="N4">
        <f>K4+1.5*K5</f>
        <v>420.9733750010397</v>
      </c>
    </row>
    <row r="5" spans="2:14" x14ac:dyDescent="0.4">
      <c r="B5">
        <v>0.303000300000348</v>
      </c>
      <c r="C5">
        <f t="shared" si="0"/>
        <v>303.00030000034798</v>
      </c>
      <c r="D5" t="b">
        <f t="shared" si="1"/>
        <v>0</v>
      </c>
      <c r="E5">
        <v>482.77210000014696</v>
      </c>
      <c r="G5" t="s">
        <v>3</v>
      </c>
      <c r="H5" s="2">
        <f>STDEV(C3:C302)</f>
        <v>39.162358008517728</v>
      </c>
      <c r="J5" t="s">
        <v>6</v>
      </c>
      <c r="K5">
        <f>K4-K3</f>
        <v>40.931950000867801</v>
      </c>
    </row>
    <row r="6" spans="2:14" x14ac:dyDescent="0.4">
      <c r="B6">
        <v>0.293779799998446</v>
      </c>
      <c r="C6">
        <f t="shared" si="0"/>
        <v>293.77979999844598</v>
      </c>
      <c r="D6" t="b">
        <f t="shared" si="1"/>
        <v>0</v>
      </c>
      <c r="E6">
        <v>556.26029999984803</v>
      </c>
      <c r="H6" s="3">
        <f>COUNTIF(C3:C302,"&lt;450")/COUNT(C3:C302)</f>
        <v>0.97666666666666668</v>
      </c>
      <c r="K6">
        <f>K3-1.5*K5</f>
        <v>257.2455749975685</v>
      </c>
    </row>
    <row r="7" spans="2:14" x14ac:dyDescent="0.4">
      <c r="B7">
        <v>0.34303350000118299</v>
      </c>
      <c r="C7">
        <f t="shared" si="0"/>
        <v>343.03350000118297</v>
      </c>
      <c r="D7" t="b">
        <f t="shared" si="1"/>
        <v>0</v>
      </c>
      <c r="E7">
        <v>468.66100000079302</v>
      </c>
    </row>
    <row r="8" spans="2:14" x14ac:dyDescent="0.4">
      <c r="B8">
        <v>0.31139989999974199</v>
      </c>
      <c r="C8">
        <f t="shared" si="0"/>
        <v>311.39989999974199</v>
      </c>
      <c r="D8" t="b">
        <f t="shared" si="1"/>
        <v>0</v>
      </c>
      <c r="E8">
        <v>506.45660000009195</v>
      </c>
    </row>
    <row r="9" spans="2:14" x14ac:dyDescent="0.4">
      <c r="B9">
        <v>0.33167580000008401</v>
      </c>
      <c r="C9">
        <f t="shared" si="0"/>
        <v>331.675800000084</v>
      </c>
      <c r="D9" t="b">
        <f t="shared" si="1"/>
        <v>0</v>
      </c>
      <c r="E9">
        <v>436.55219999891398</v>
      </c>
    </row>
    <row r="10" spans="2:14" x14ac:dyDescent="0.4">
      <c r="B10">
        <v>0.36816969999927002</v>
      </c>
      <c r="C10">
        <f t="shared" si="0"/>
        <v>368.16969999926999</v>
      </c>
      <c r="D10" t="b">
        <f t="shared" si="1"/>
        <v>0</v>
      </c>
      <c r="E10">
        <v>433.125599998675</v>
      </c>
    </row>
    <row r="11" spans="2:14" x14ac:dyDescent="0.4">
      <c r="B11">
        <v>0.328894399999626</v>
      </c>
      <c r="C11">
        <f t="shared" si="0"/>
        <v>328.89439999962599</v>
      </c>
      <c r="D11" t="b">
        <f t="shared" si="1"/>
        <v>0</v>
      </c>
      <c r="E11">
        <v>421.30179999912798</v>
      </c>
    </row>
    <row r="12" spans="2:14" x14ac:dyDescent="0.4">
      <c r="B12">
        <v>0.30677070000092499</v>
      </c>
      <c r="C12">
        <f t="shared" si="0"/>
        <v>306.77070000092499</v>
      </c>
      <c r="D12" t="b">
        <f t="shared" si="1"/>
        <v>0</v>
      </c>
      <c r="E12">
        <v>441.48089999907802</v>
      </c>
    </row>
    <row r="13" spans="2:14" x14ac:dyDescent="0.4">
      <c r="B13">
        <v>0.34471069999926801</v>
      </c>
      <c r="C13">
        <f t="shared" si="0"/>
        <v>344.710699999268</v>
      </c>
      <c r="D13" t="b">
        <f t="shared" si="1"/>
        <v>0</v>
      </c>
      <c r="E13">
        <v>464.19719999903401</v>
      </c>
    </row>
    <row r="14" spans="2:14" x14ac:dyDescent="0.4">
      <c r="B14">
        <v>0.342956800001047</v>
      </c>
      <c r="C14">
        <f t="shared" si="0"/>
        <v>342.95680000104699</v>
      </c>
      <c r="D14" t="b">
        <f t="shared" si="1"/>
        <v>0</v>
      </c>
      <c r="E14">
        <v>463.65530000002701</v>
      </c>
    </row>
    <row r="15" spans="2:14" x14ac:dyDescent="0.4">
      <c r="B15">
        <v>0.40826060000108499</v>
      </c>
      <c r="C15">
        <f t="shared" si="0"/>
        <v>408.26060000108498</v>
      </c>
      <c r="D15" t="b">
        <f t="shared" si="1"/>
        <v>0</v>
      </c>
      <c r="E15">
        <v>449.77260000086898</v>
      </c>
    </row>
    <row r="16" spans="2:14" x14ac:dyDescent="0.4">
      <c r="B16">
        <v>0.34822630000053301</v>
      </c>
      <c r="C16">
        <f t="shared" si="0"/>
        <v>348.226300000533</v>
      </c>
      <c r="D16" t="b">
        <f t="shared" si="1"/>
        <v>0</v>
      </c>
      <c r="E16">
        <v>475.64550000060899</v>
      </c>
    </row>
    <row r="17" spans="2:5" x14ac:dyDescent="0.4">
      <c r="B17">
        <v>0.329715699999724</v>
      </c>
      <c r="C17">
        <f t="shared" si="0"/>
        <v>329.715699999724</v>
      </c>
      <c r="D17" t="b">
        <f t="shared" si="1"/>
        <v>0</v>
      </c>
      <c r="E17">
        <v>428.26309999873001</v>
      </c>
    </row>
    <row r="18" spans="2:5" x14ac:dyDescent="0.4">
      <c r="B18">
        <v>0.42195100000026198</v>
      </c>
      <c r="C18">
        <f t="shared" si="0"/>
        <v>421.95100000026196</v>
      </c>
      <c r="D18" t="b">
        <f t="shared" si="1"/>
        <v>1</v>
      </c>
      <c r="E18">
        <v>247.95669999912201</v>
      </c>
    </row>
    <row r="19" spans="2:5" x14ac:dyDescent="0.4">
      <c r="B19">
        <v>0.33482449999974001</v>
      </c>
      <c r="C19">
        <f t="shared" si="0"/>
        <v>334.82449999974</v>
      </c>
      <c r="D19" t="b">
        <f t="shared" si="1"/>
        <v>0</v>
      </c>
    </row>
    <row r="20" spans="2:5" x14ac:dyDescent="0.4">
      <c r="B20">
        <v>0.35212929999943299</v>
      </c>
      <c r="C20">
        <f t="shared" si="0"/>
        <v>352.12929999943299</v>
      </c>
      <c r="D20" t="b">
        <f t="shared" si="1"/>
        <v>0</v>
      </c>
    </row>
    <row r="21" spans="2:5" x14ac:dyDescent="0.4">
      <c r="B21">
        <v>0.34406769999986803</v>
      </c>
      <c r="C21">
        <f t="shared" si="0"/>
        <v>344.06769999986801</v>
      </c>
      <c r="D21" t="b">
        <f t="shared" si="1"/>
        <v>0</v>
      </c>
    </row>
    <row r="22" spans="2:5" x14ac:dyDescent="0.4">
      <c r="B22">
        <v>0.31605620000118501</v>
      </c>
      <c r="C22">
        <f t="shared" si="0"/>
        <v>316.056200001185</v>
      </c>
      <c r="D22" t="b">
        <f t="shared" si="1"/>
        <v>0</v>
      </c>
    </row>
    <row r="23" spans="2:5" x14ac:dyDescent="0.4">
      <c r="B23">
        <v>0.33278229999996201</v>
      </c>
      <c r="C23">
        <f t="shared" si="0"/>
        <v>332.78229999996199</v>
      </c>
      <c r="D23" t="b">
        <f t="shared" si="1"/>
        <v>0</v>
      </c>
    </row>
    <row r="24" spans="2:5" x14ac:dyDescent="0.4">
      <c r="B24">
        <v>0.31488609999905698</v>
      </c>
      <c r="C24">
        <f t="shared" si="0"/>
        <v>314.88609999905697</v>
      </c>
      <c r="D24" t="b">
        <f t="shared" si="1"/>
        <v>0</v>
      </c>
    </row>
    <row r="25" spans="2:5" x14ac:dyDescent="0.4">
      <c r="B25">
        <v>0.31648660000064399</v>
      </c>
      <c r="C25">
        <f t="shared" si="0"/>
        <v>316.48660000064399</v>
      </c>
      <c r="D25" t="b">
        <f t="shared" si="1"/>
        <v>0</v>
      </c>
    </row>
    <row r="26" spans="2:5" x14ac:dyDescent="0.4">
      <c r="B26">
        <v>0.33473179999964398</v>
      </c>
      <c r="C26">
        <f t="shared" si="0"/>
        <v>334.73179999964395</v>
      </c>
      <c r="D26" t="b">
        <f t="shared" si="1"/>
        <v>0</v>
      </c>
    </row>
    <row r="27" spans="2:5" x14ac:dyDescent="0.4">
      <c r="B27">
        <v>0.30346110000027599</v>
      </c>
      <c r="C27">
        <f t="shared" si="0"/>
        <v>303.46110000027596</v>
      </c>
      <c r="D27" t="b">
        <f t="shared" si="1"/>
        <v>0</v>
      </c>
    </row>
    <row r="28" spans="2:5" x14ac:dyDescent="0.4">
      <c r="B28">
        <v>0.29969979999987101</v>
      </c>
      <c r="C28">
        <f t="shared" si="0"/>
        <v>299.699799999871</v>
      </c>
      <c r="D28" t="b">
        <f t="shared" si="1"/>
        <v>0</v>
      </c>
    </row>
    <row r="29" spans="2:5" x14ac:dyDescent="0.4">
      <c r="B29">
        <v>0.30654990000039101</v>
      </c>
      <c r="C29">
        <f t="shared" si="0"/>
        <v>306.54990000039101</v>
      </c>
      <c r="D29" t="b">
        <f t="shared" si="1"/>
        <v>0</v>
      </c>
    </row>
    <row r="30" spans="2:5" x14ac:dyDescent="0.4">
      <c r="B30">
        <v>0.30028540000057502</v>
      </c>
      <c r="C30">
        <f t="shared" si="0"/>
        <v>300.28540000057501</v>
      </c>
      <c r="D30" t="b">
        <f t="shared" si="1"/>
        <v>0</v>
      </c>
    </row>
    <row r="31" spans="2:5" x14ac:dyDescent="0.4">
      <c r="B31">
        <v>0.32302310000159101</v>
      </c>
      <c r="C31">
        <f t="shared" si="0"/>
        <v>323.02310000159099</v>
      </c>
      <c r="D31" t="b">
        <f t="shared" si="1"/>
        <v>0</v>
      </c>
    </row>
    <row r="32" spans="2:5" x14ac:dyDescent="0.4">
      <c r="B32">
        <v>0.30208489999859001</v>
      </c>
      <c r="C32">
        <f t="shared" si="0"/>
        <v>302.08489999859</v>
      </c>
      <c r="D32" t="b">
        <f t="shared" si="1"/>
        <v>0</v>
      </c>
    </row>
    <row r="33" spans="2:4" x14ac:dyDescent="0.4">
      <c r="B33">
        <v>0.30733119999968</v>
      </c>
      <c r="C33">
        <f t="shared" si="0"/>
        <v>307.33119999968</v>
      </c>
      <c r="D33" t="b">
        <f t="shared" si="1"/>
        <v>0</v>
      </c>
    </row>
    <row r="34" spans="2:4" x14ac:dyDescent="0.4">
      <c r="B34">
        <v>0.34188429999994602</v>
      </c>
      <c r="C34">
        <f t="shared" si="0"/>
        <v>341.88429999994599</v>
      </c>
      <c r="D34" t="b">
        <f t="shared" si="1"/>
        <v>0</v>
      </c>
    </row>
    <row r="35" spans="2:4" x14ac:dyDescent="0.4">
      <c r="B35">
        <v>0.30483450000065199</v>
      </c>
      <c r="C35">
        <f t="shared" si="0"/>
        <v>304.83450000065199</v>
      </c>
      <c r="D35" t="b">
        <f t="shared" si="1"/>
        <v>0</v>
      </c>
    </row>
    <row r="36" spans="2:4" x14ac:dyDescent="0.4">
      <c r="B36">
        <v>0.31661789999998202</v>
      </c>
      <c r="C36">
        <f t="shared" si="0"/>
        <v>316.617899999982</v>
      </c>
      <c r="D36" t="b">
        <f t="shared" si="1"/>
        <v>0</v>
      </c>
    </row>
    <row r="37" spans="2:4" x14ac:dyDescent="0.4">
      <c r="B37">
        <v>0.308027299999594</v>
      </c>
      <c r="C37">
        <f t="shared" si="0"/>
        <v>308.02729999959399</v>
      </c>
      <c r="D37" t="b">
        <f t="shared" si="1"/>
        <v>0</v>
      </c>
    </row>
    <row r="38" spans="2:4" x14ac:dyDescent="0.4">
      <c r="B38">
        <v>0.36110729999927499</v>
      </c>
      <c r="C38">
        <f t="shared" si="0"/>
        <v>361.10729999927497</v>
      </c>
      <c r="D38" t="b">
        <f t="shared" si="1"/>
        <v>0</v>
      </c>
    </row>
    <row r="39" spans="2:4" x14ac:dyDescent="0.4">
      <c r="B39">
        <v>0.31104589999995302</v>
      </c>
      <c r="C39">
        <f t="shared" si="0"/>
        <v>311.04589999995301</v>
      </c>
      <c r="D39" t="b">
        <f t="shared" si="1"/>
        <v>0</v>
      </c>
    </row>
    <row r="40" spans="2:4" x14ac:dyDescent="0.4">
      <c r="B40">
        <v>0.30329999999958002</v>
      </c>
      <c r="C40">
        <f t="shared" si="0"/>
        <v>303.29999999958</v>
      </c>
      <c r="D40" t="b">
        <f t="shared" si="1"/>
        <v>0</v>
      </c>
    </row>
    <row r="41" spans="2:4" x14ac:dyDescent="0.4">
      <c r="B41">
        <v>0.30052739999882699</v>
      </c>
      <c r="C41">
        <f t="shared" si="0"/>
        <v>300.52739999882698</v>
      </c>
      <c r="D41" t="b">
        <f t="shared" si="1"/>
        <v>0</v>
      </c>
    </row>
    <row r="42" spans="2:4" x14ac:dyDescent="0.4">
      <c r="B42">
        <v>0.33665289999953502</v>
      </c>
      <c r="C42">
        <f t="shared" si="0"/>
        <v>336.65289999953501</v>
      </c>
      <c r="D42" t="b">
        <f t="shared" si="1"/>
        <v>0</v>
      </c>
    </row>
    <row r="43" spans="2:4" x14ac:dyDescent="0.4">
      <c r="B43">
        <v>0.30616890000055702</v>
      </c>
      <c r="C43">
        <f t="shared" si="0"/>
        <v>306.16890000055702</v>
      </c>
      <c r="D43" t="b">
        <f t="shared" si="1"/>
        <v>0</v>
      </c>
    </row>
    <row r="44" spans="2:4" x14ac:dyDescent="0.4">
      <c r="B44">
        <v>0.313039000000571</v>
      </c>
      <c r="C44">
        <f t="shared" si="0"/>
        <v>313.03900000057098</v>
      </c>
      <c r="D44" t="b">
        <f t="shared" si="1"/>
        <v>0</v>
      </c>
    </row>
    <row r="45" spans="2:4" x14ac:dyDescent="0.4">
      <c r="B45">
        <v>0.30721989999983601</v>
      </c>
      <c r="C45">
        <f t="shared" si="0"/>
        <v>307.219899999836</v>
      </c>
      <c r="D45" t="b">
        <f t="shared" si="1"/>
        <v>0</v>
      </c>
    </row>
    <row r="46" spans="2:4" x14ac:dyDescent="0.4">
      <c r="B46">
        <v>0.309176200000365</v>
      </c>
      <c r="C46">
        <f t="shared" si="0"/>
        <v>309.17620000036499</v>
      </c>
      <c r="D46" t="b">
        <f t="shared" si="1"/>
        <v>0</v>
      </c>
    </row>
    <row r="47" spans="2:4" x14ac:dyDescent="0.4">
      <c r="B47">
        <v>0.27311689999987698</v>
      </c>
      <c r="C47">
        <f t="shared" si="0"/>
        <v>273.11689999987698</v>
      </c>
      <c r="D47" t="b">
        <f t="shared" si="1"/>
        <v>0</v>
      </c>
    </row>
    <row r="48" spans="2:4" x14ac:dyDescent="0.4">
      <c r="B48">
        <v>0.31622119999883502</v>
      </c>
      <c r="C48">
        <f t="shared" si="0"/>
        <v>316.221199998835</v>
      </c>
      <c r="D48" t="b">
        <f t="shared" si="1"/>
        <v>0</v>
      </c>
    </row>
    <row r="49" spans="2:4" x14ac:dyDescent="0.4">
      <c r="B49">
        <v>0.33738919999996098</v>
      </c>
      <c r="C49">
        <f t="shared" si="0"/>
        <v>337.38919999996097</v>
      </c>
      <c r="D49" t="b">
        <f t="shared" si="1"/>
        <v>0</v>
      </c>
    </row>
    <row r="50" spans="2:4" x14ac:dyDescent="0.4">
      <c r="B50">
        <v>0.37429040000097302</v>
      </c>
      <c r="C50">
        <f t="shared" si="0"/>
        <v>374.29040000097302</v>
      </c>
      <c r="D50" t="b">
        <f t="shared" si="1"/>
        <v>0</v>
      </c>
    </row>
    <row r="51" spans="2:4" x14ac:dyDescent="0.4">
      <c r="B51">
        <v>0.321667299998807</v>
      </c>
      <c r="C51">
        <f t="shared" si="0"/>
        <v>321.66729999880698</v>
      </c>
      <c r="D51" t="b">
        <f t="shared" si="1"/>
        <v>0</v>
      </c>
    </row>
    <row r="52" spans="2:4" x14ac:dyDescent="0.4">
      <c r="B52">
        <v>0.31307940000078799</v>
      </c>
      <c r="C52">
        <f t="shared" si="0"/>
        <v>313.07940000078798</v>
      </c>
      <c r="D52" t="b">
        <f t="shared" si="1"/>
        <v>0</v>
      </c>
    </row>
    <row r="53" spans="2:4" x14ac:dyDescent="0.4">
      <c r="B53">
        <v>0.35686449999957398</v>
      </c>
      <c r="C53">
        <f t="shared" si="0"/>
        <v>356.86449999957398</v>
      </c>
      <c r="D53" t="b">
        <f t="shared" si="1"/>
        <v>0</v>
      </c>
    </row>
    <row r="54" spans="2:4" x14ac:dyDescent="0.4">
      <c r="B54">
        <v>0.310899699999936</v>
      </c>
      <c r="C54">
        <f t="shared" si="0"/>
        <v>310.89969999993599</v>
      </c>
      <c r="D54" t="b">
        <f t="shared" si="1"/>
        <v>0</v>
      </c>
    </row>
    <row r="55" spans="2:4" x14ac:dyDescent="0.4">
      <c r="B55">
        <v>0.33581989999947798</v>
      </c>
      <c r="C55">
        <f t="shared" si="0"/>
        <v>335.81989999947797</v>
      </c>
      <c r="D55" t="b">
        <f t="shared" si="1"/>
        <v>0</v>
      </c>
    </row>
    <row r="56" spans="2:4" x14ac:dyDescent="0.4">
      <c r="B56">
        <v>0.30828190000102002</v>
      </c>
      <c r="C56">
        <f t="shared" si="0"/>
        <v>308.28190000102001</v>
      </c>
      <c r="D56" t="b">
        <f t="shared" si="1"/>
        <v>0</v>
      </c>
    </row>
    <row r="57" spans="2:4" x14ac:dyDescent="0.4">
      <c r="B57">
        <v>0.30941400000119701</v>
      </c>
      <c r="C57">
        <f t="shared" si="0"/>
        <v>309.414000001197</v>
      </c>
      <c r="D57" t="b">
        <f t="shared" si="1"/>
        <v>0</v>
      </c>
    </row>
    <row r="58" spans="2:4" x14ac:dyDescent="0.4">
      <c r="B58">
        <v>0.35873360000005</v>
      </c>
      <c r="C58">
        <f t="shared" si="0"/>
        <v>358.73360000004999</v>
      </c>
      <c r="D58" t="b">
        <f t="shared" si="1"/>
        <v>0</v>
      </c>
    </row>
    <row r="59" spans="2:4" x14ac:dyDescent="0.4">
      <c r="B59">
        <v>0.32279930000004198</v>
      </c>
      <c r="C59">
        <f t="shared" si="0"/>
        <v>322.79930000004197</v>
      </c>
      <c r="D59" t="b">
        <f t="shared" si="1"/>
        <v>0</v>
      </c>
    </row>
    <row r="60" spans="2:4" x14ac:dyDescent="0.4">
      <c r="B60">
        <v>0.33041649999904599</v>
      </c>
      <c r="C60">
        <f t="shared" si="0"/>
        <v>330.41649999904598</v>
      </c>
      <c r="D60" t="b">
        <f t="shared" si="1"/>
        <v>0</v>
      </c>
    </row>
    <row r="61" spans="2:4" x14ac:dyDescent="0.4">
      <c r="B61">
        <v>0.35174970000116401</v>
      </c>
      <c r="C61">
        <f t="shared" si="0"/>
        <v>351.749700001164</v>
      </c>
      <c r="D61" t="b">
        <f t="shared" si="1"/>
        <v>0</v>
      </c>
    </row>
    <row r="62" spans="2:4" x14ac:dyDescent="0.4">
      <c r="B62">
        <v>0.33277540000017303</v>
      </c>
      <c r="C62">
        <f t="shared" si="0"/>
        <v>332.77540000017302</v>
      </c>
      <c r="D62" t="b">
        <f t="shared" si="1"/>
        <v>0</v>
      </c>
    </row>
    <row r="63" spans="2:4" x14ac:dyDescent="0.4">
      <c r="B63">
        <v>0.37440169999899803</v>
      </c>
      <c r="C63">
        <f t="shared" si="0"/>
        <v>374.40169999899803</v>
      </c>
      <c r="D63" t="b">
        <f t="shared" si="1"/>
        <v>0</v>
      </c>
    </row>
    <row r="64" spans="2:4" x14ac:dyDescent="0.4">
      <c r="B64">
        <v>0.30507419999958002</v>
      </c>
      <c r="C64">
        <f t="shared" si="0"/>
        <v>305.07419999958</v>
      </c>
      <c r="D64" t="b">
        <f t="shared" si="1"/>
        <v>0</v>
      </c>
    </row>
    <row r="65" spans="2:4" x14ac:dyDescent="0.4">
      <c r="B65">
        <v>0.32884869999907002</v>
      </c>
      <c r="C65">
        <f t="shared" si="0"/>
        <v>328.84869999906999</v>
      </c>
      <c r="D65" t="b">
        <f t="shared" si="1"/>
        <v>0</v>
      </c>
    </row>
    <row r="66" spans="2:4" x14ac:dyDescent="0.4">
      <c r="B66">
        <v>0.34013229999982197</v>
      </c>
      <c r="C66">
        <f t="shared" si="0"/>
        <v>340.13229999982195</v>
      </c>
      <c r="D66" t="b">
        <f t="shared" si="1"/>
        <v>0</v>
      </c>
    </row>
    <row r="67" spans="2:4" x14ac:dyDescent="0.4">
      <c r="B67">
        <v>0.34161339999991402</v>
      </c>
      <c r="C67">
        <f t="shared" si="0"/>
        <v>341.61339999991401</v>
      </c>
      <c r="D67" t="b">
        <f t="shared" si="1"/>
        <v>0</v>
      </c>
    </row>
    <row r="68" spans="2:4" x14ac:dyDescent="0.4">
      <c r="B68">
        <v>0.34151249999922501</v>
      </c>
      <c r="C68">
        <f t="shared" ref="C68:C131" si="2">B68*1000</f>
        <v>341.51249999922499</v>
      </c>
      <c r="D68" t="b">
        <f t="shared" ref="D68:D131" si="3">OR(C68&lt;($K$3-1.5*$K$5),C68&gt;($K$4+1.5*$K$5))</f>
        <v>0</v>
      </c>
    </row>
    <row r="69" spans="2:4" x14ac:dyDescent="0.4">
      <c r="B69">
        <v>0.418171900000743</v>
      </c>
      <c r="C69">
        <f t="shared" si="2"/>
        <v>418.17190000074299</v>
      </c>
      <c r="D69" t="b">
        <f t="shared" si="3"/>
        <v>0</v>
      </c>
    </row>
    <row r="70" spans="2:4" x14ac:dyDescent="0.4">
      <c r="B70">
        <v>0.33605709999937899</v>
      </c>
      <c r="C70">
        <f t="shared" si="2"/>
        <v>336.05709999937898</v>
      </c>
      <c r="D70" t="b">
        <f t="shared" si="3"/>
        <v>0</v>
      </c>
    </row>
    <row r="71" spans="2:4" x14ac:dyDescent="0.4">
      <c r="B71">
        <v>0.375763600000937</v>
      </c>
      <c r="C71">
        <f t="shared" si="2"/>
        <v>375.763600000937</v>
      </c>
      <c r="D71" t="b">
        <f t="shared" si="3"/>
        <v>0</v>
      </c>
    </row>
    <row r="72" spans="2:4" x14ac:dyDescent="0.4">
      <c r="B72">
        <v>0.33310569999957801</v>
      </c>
      <c r="C72">
        <f t="shared" si="2"/>
        <v>333.10569999957801</v>
      </c>
      <c r="D72" t="b">
        <f t="shared" si="3"/>
        <v>0</v>
      </c>
    </row>
    <row r="73" spans="2:4" x14ac:dyDescent="0.4">
      <c r="B73">
        <v>0.33136790000025901</v>
      </c>
      <c r="C73">
        <f t="shared" si="2"/>
        <v>331.367900000259</v>
      </c>
      <c r="D73" t="b">
        <f t="shared" si="3"/>
        <v>0</v>
      </c>
    </row>
    <row r="74" spans="2:4" x14ac:dyDescent="0.4">
      <c r="B74">
        <v>0.32834019999972902</v>
      </c>
      <c r="C74">
        <f t="shared" si="2"/>
        <v>328.34019999972901</v>
      </c>
      <c r="D74" t="b">
        <f t="shared" si="3"/>
        <v>0</v>
      </c>
    </row>
    <row r="75" spans="2:4" x14ac:dyDescent="0.4">
      <c r="B75">
        <v>0.31497489999855999</v>
      </c>
      <c r="C75">
        <f t="shared" si="2"/>
        <v>314.97489999855998</v>
      </c>
      <c r="D75" t="b">
        <f t="shared" si="3"/>
        <v>0</v>
      </c>
    </row>
    <row r="76" spans="2:4" x14ac:dyDescent="0.4">
      <c r="B76">
        <v>0.30995769999935802</v>
      </c>
      <c r="C76">
        <f t="shared" si="2"/>
        <v>309.957699999358</v>
      </c>
      <c r="D76" t="b">
        <f t="shared" si="3"/>
        <v>0</v>
      </c>
    </row>
    <row r="77" spans="2:4" x14ac:dyDescent="0.4">
      <c r="B77">
        <v>0.41656960000000198</v>
      </c>
      <c r="C77">
        <f t="shared" si="2"/>
        <v>416.56960000000197</v>
      </c>
      <c r="D77" t="b">
        <f t="shared" si="3"/>
        <v>0</v>
      </c>
    </row>
    <row r="78" spans="2:4" x14ac:dyDescent="0.4">
      <c r="B78">
        <v>0.33926580000115703</v>
      </c>
      <c r="C78">
        <f t="shared" si="2"/>
        <v>339.265800001157</v>
      </c>
      <c r="D78" t="b">
        <f t="shared" si="3"/>
        <v>0</v>
      </c>
    </row>
    <row r="79" spans="2:4" x14ac:dyDescent="0.4">
      <c r="B79">
        <v>0.341431600001669</v>
      </c>
      <c r="C79">
        <f t="shared" si="2"/>
        <v>341.43160000166898</v>
      </c>
      <c r="D79" t="b">
        <f t="shared" si="3"/>
        <v>0</v>
      </c>
    </row>
    <row r="80" spans="2:4" x14ac:dyDescent="0.4">
      <c r="B80">
        <v>0.34326879999935</v>
      </c>
      <c r="C80">
        <f t="shared" si="2"/>
        <v>343.26879999934999</v>
      </c>
      <c r="D80" t="b">
        <f t="shared" si="3"/>
        <v>0</v>
      </c>
    </row>
    <row r="81" spans="2:4" x14ac:dyDescent="0.4">
      <c r="B81">
        <v>0.34206599999924903</v>
      </c>
      <c r="C81">
        <f t="shared" si="2"/>
        <v>342.06599999924902</v>
      </c>
      <c r="D81" t="b">
        <f t="shared" si="3"/>
        <v>0</v>
      </c>
    </row>
    <row r="82" spans="2:4" x14ac:dyDescent="0.4">
      <c r="B82">
        <v>0.35456789999989202</v>
      </c>
      <c r="C82">
        <f t="shared" si="2"/>
        <v>354.56789999989201</v>
      </c>
      <c r="D82" t="b">
        <f t="shared" si="3"/>
        <v>0</v>
      </c>
    </row>
    <row r="83" spans="2:4" x14ac:dyDescent="0.4">
      <c r="B83">
        <v>0.306789199999911</v>
      </c>
      <c r="C83">
        <f t="shared" si="2"/>
        <v>306.78919999991098</v>
      </c>
      <c r="D83" t="b">
        <f t="shared" si="3"/>
        <v>0</v>
      </c>
    </row>
    <row r="84" spans="2:4" x14ac:dyDescent="0.4">
      <c r="B84">
        <v>0.30062379999981198</v>
      </c>
      <c r="C84">
        <f t="shared" si="2"/>
        <v>300.62379999981198</v>
      </c>
      <c r="D84" t="b">
        <f t="shared" si="3"/>
        <v>0</v>
      </c>
    </row>
    <row r="85" spans="2:4" x14ac:dyDescent="0.4">
      <c r="B85">
        <v>0.33990900000026097</v>
      </c>
      <c r="C85">
        <f t="shared" si="2"/>
        <v>339.90900000026096</v>
      </c>
      <c r="D85" t="b">
        <f t="shared" si="3"/>
        <v>0</v>
      </c>
    </row>
    <row r="86" spans="2:4" x14ac:dyDescent="0.4">
      <c r="B86">
        <v>0.30593190000035902</v>
      </c>
      <c r="C86">
        <f t="shared" si="2"/>
        <v>305.93190000035901</v>
      </c>
      <c r="D86" t="b">
        <f t="shared" si="3"/>
        <v>0</v>
      </c>
    </row>
    <row r="87" spans="2:4" x14ac:dyDescent="0.4">
      <c r="B87">
        <v>0.31132650000108603</v>
      </c>
      <c r="C87">
        <f t="shared" si="2"/>
        <v>311.326500001086</v>
      </c>
      <c r="D87" t="b">
        <f t="shared" si="3"/>
        <v>0</v>
      </c>
    </row>
    <row r="88" spans="2:4" x14ac:dyDescent="0.4">
      <c r="B88">
        <v>0.37903220000043802</v>
      </c>
      <c r="C88">
        <f t="shared" si="2"/>
        <v>379.03220000043802</v>
      </c>
      <c r="D88" t="b">
        <f t="shared" si="3"/>
        <v>0</v>
      </c>
    </row>
    <row r="89" spans="2:4" x14ac:dyDescent="0.4">
      <c r="B89">
        <v>0.48277210000014698</v>
      </c>
      <c r="C89">
        <f t="shared" si="2"/>
        <v>482.77210000014696</v>
      </c>
      <c r="D89" t="b">
        <f t="shared" si="3"/>
        <v>1</v>
      </c>
    </row>
    <row r="90" spans="2:4" x14ac:dyDescent="0.4">
      <c r="B90">
        <v>0.38017159999981198</v>
      </c>
      <c r="C90">
        <f t="shared" si="2"/>
        <v>380.17159999981197</v>
      </c>
      <c r="D90" t="b">
        <f t="shared" si="3"/>
        <v>0</v>
      </c>
    </row>
    <row r="91" spans="2:4" x14ac:dyDescent="0.4">
      <c r="B91">
        <v>0.33609830000023</v>
      </c>
      <c r="C91">
        <f t="shared" si="2"/>
        <v>336.09830000022998</v>
      </c>
      <c r="D91" t="b">
        <f t="shared" si="3"/>
        <v>0</v>
      </c>
    </row>
    <row r="92" spans="2:4" x14ac:dyDescent="0.4">
      <c r="B92">
        <v>0.30861530000038301</v>
      </c>
      <c r="C92">
        <f t="shared" si="2"/>
        <v>308.615300000383</v>
      </c>
      <c r="D92" t="b">
        <f t="shared" si="3"/>
        <v>0</v>
      </c>
    </row>
    <row r="93" spans="2:4" x14ac:dyDescent="0.4">
      <c r="B93">
        <v>0.36792269999932598</v>
      </c>
      <c r="C93">
        <f t="shared" si="2"/>
        <v>367.92269999932597</v>
      </c>
      <c r="D93" t="b">
        <f t="shared" si="3"/>
        <v>0</v>
      </c>
    </row>
    <row r="94" spans="2:4" x14ac:dyDescent="0.4">
      <c r="B94">
        <v>0.35847239999929997</v>
      </c>
      <c r="C94">
        <f t="shared" si="2"/>
        <v>358.47239999929997</v>
      </c>
      <c r="D94" t="b">
        <f t="shared" si="3"/>
        <v>0</v>
      </c>
    </row>
    <row r="95" spans="2:4" x14ac:dyDescent="0.4">
      <c r="B95">
        <v>0.345127000000502</v>
      </c>
      <c r="C95">
        <f t="shared" si="2"/>
        <v>345.12700000050199</v>
      </c>
      <c r="D95" t="b">
        <f t="shared" si="3"/>
        <v>0</v>
      </c>
    </row>
    <row r="96" spans="2:4" x14ac:dyDescent="0.4">
      <c r="B96">
        <v>0.37720869999975498</v>
      </c>
      <c r="C96">
        <f t="shared" si="2"/>
        <v>377.20869999975497</v>
      </c>
      <c r="D96" t="b">
        <f t="shared" si="3"/>
        <v>0</v>
      </c>
    </row>
    <row r="97" spans="2:4" x14ac:dyDescent="0.4">
      <c r="B97">
        <v>0.36682389999987203</v>
      </c>
      <c r="C97">
        <f t="shared" si="2"/>
        <v>366.82389999987203</v>
      </c>
      <c r="D97" t="b">
        <f t="shared" si="3"/>
        <v>0</v>
      </c>
    </row>
    <row r="98" spans="2:4" x14ac:dyDescent="0.4">
      <c r="B98">
        <v>0.55626029999984805</v>
      </c>
      <c r="C98">
        <f t="shared" si="2"/>
        <v>556.26029999984803</v>
      </c>
      <c r="D98" t="b">
        <f t="shared" si="3"/>
        <v>1</v>
      </c>
    </row>
    <row r="99" spans="2:4" x14ac:dyDescent="0.4">
      <c r="B99">
        <v>0.46866100000079303</v>
      </c>
      <c r="C99">
        <f t="shared" si="2"/>
        <v>468.66100000079302</v>
      </c>
      <c r="D99" t="b">
        <f t="shared" si="3"/>
        <v>1</v>
      </c>
    </row>
    <row r="100" spans="2:4" x14ac:dyDescent="0.4">
      <c r="B100">
        <v>0.35430450000058</v>
      </c>
      <c r="C100">
        <f t="shared" si="2"/>
        <v>354.30450000057999</v>
      </c>
      <c r="D100" t="b">
        <f t="shared" si="3"/>
        <v>0</v>
      </c>
    </row>
    <row r="101" spans="2:4" x14ac:dyDescent="0.4">
      <c r="B101">
        <v>0.50645660000009196</v>
      </c>
      <c r="C101">
        <f t="shared" si="2"/>
        <v>506.45660000009195</v>
      </c>
      <c r="D101" t="b">
        <f t="shared" si="3"/>
        <v>1</v>
      </c>
    </row>
    <row r="102" spans="2:4" x14ac:dyDescent="0.4">
      <c r="B102">
        <v>0.34204319999844301</v>
      </c>
      <c r="C102">
        <f t="shared" si="2"/>
        <v>342.04319999844301</v>
      </c>
      <c r="D102" t="b">
        <f t="shared" si="3"/>
        <v>0</v>
      </c>
    </row>
    <row r="103" spans="2:4" x14ac:dyDescent="0.4">
      <c r="B103">
        <v>0.355354899998928</v>
      </c>
      <c r="C103">
        <f t="shared" si="2"/>
        <v>355.35489999892798</v>
      </c>
      <c r="D103" t="b">
        <f t="shared" si="3"/>
        <v>0</v>
      </c>
    </row>
    <row r="104" spans="2:4" x14ac:dyDescent="0.4">
      <c r="B104">
        <v>0.33639279999988497</v>
      </c>
      <c r="C104">
        <f t="shared" si="2"/>
        <v>336.39279999988497</v>
      </c>
      <c r="D104" t="b">
        <f t="shared" si="3"/>
        <v>0</v>
      </c>
    </row>
    <row r="105" spans="2:4" x14ac:dyDescent="0.4">
      <c r="B105">
        <v>0.31231740000112002</v>
      </c>
      <c r="C105">
        <f t="shared" si="2"/>
        <v>312.31740000112001</v>
      </c>
      <c r="D105" t="b">
        <f t="shared" si="3"/>
        <v>0</v>
      </c>
    </row>
    <row r="106" spans="2:4" x14ac:dyDescent="0.4">
      <c r="B106">
        <v>0.38302560000010999</v>
      </c>
      <c r="C106">
        <f t="shared" si="2"/>
        <v>383.02560000010999</v>
      </c>
      <c r="D106" t="b">
        <f t="shared" si="3"/>
        <v>0</v>
      </c>
    </row>
    <row r="107" spans="2:4" x14ac:dyDescent="0.4">
      <c r="B107">
        <v>0.35700019999967397</v>
      </c>
      <c r="C107">
        <f t="shared" si="2"/>
        <v>357.00019999967395</v>
      </c>
      <c r="D107" t="b">
        <f t="shared" si="3"/>
        <v>0</v>
      </c>
    </row>
    <row r="108" spans="2:4" x14ac:dyDescent="0.4">
      <c r="B108">
        <v>0.340117599998848</v>
      </c>
      <c r="C108">
        <f t="shared" si="2"/>
        <v>340.11759999884799</v>
      </c>
      <c r="D108" t="b">
        <f t="shared" si="3"/>
        <v>0</v>
      </c>
    </row>
    <row r="109" spans="2:4" x14ac:dyDescent="0.4">
      <c r="B109">
        <v>0.363567099999272</v>
      </c>
      <c r="C109">
        <f t="shared" si="2"/>
        <v>363.56709999927199</v>
      </c>
      <c r="D109" t="b">
        <f t="shared" si="3"/>
        <v>0</v>
      </c>
    </row>
    <row r="110" spans="2:4" x14ac:dyDescent="0.4">
      <c r="B110">
        <v>0.41249830000015197</v>
      </c>
      <c r="C110">
        <f t="shared" si="2"/>
        <v>412.49830000015197</v>
      </c>
      <c r="D110" t="b">
        <f t="shared" si="3"/>
        <v>0</v>
      </c>
    </row>
    <row r="111" spans="2:4" x14ac:dyDescent="0.4">
      <c r="B111">
        <v>0.36434149999877202</v>
      </c>
      <c r="C111">
        <f t="shared" si="2"/>
        <v>364.34149999877201</v>
      </c>
      <c r="D111" t="b">
        <f t="shared" si="3"/>
        <v>0</v>
      </c>
    </row>
    <row r="112" spans="2:4" x14ac:dyDescent="0.4">
      <c r="B112">
        <v>0.33563060000051298</v>
      </c>
      <c r="C112">
        <f t="shared" si="2"/>
        <v>335.63060000051297</v>
      </c>
      <c r="D112" t="b">
        <f t="shared" si="3"/>
        <v>0</v>
      </c>
    </row>
    <row r="113" spans="2:4" x14ac:dyDescent="0.4">
      <c r="B113">
        <v>0.33853310000085901</v>
      </c>
      <c r="C113">
        <f t="shared" si="2"/>
        <v>338.53310000085901</v>
      </c>
      <c r="D113" t="b">
        <f t="shared" si="3"/>
        <v>0</v>
      </c>
    </row>
    <row r="114" spans="2:4" x14ac:dyDescent="0.4">
      <c r="B114">
        <v>0.43655219999891398</v>
      </c>
      <c r="C114">
        <f t="shared" si="2"/>
        <v>436.55219999891398</v>
      </c>
      <c r="D114" t="b">
        <f t="shared" si="3"/>
        <v>1</v>
      </c>
    </row>
    <row r="115" spans="2:4" x14ac:dyDescent="0.4">
      <c r="B115">
        <v>0.34512620000168598</v>
      </c>
      <c r="C115">
        <f t="shared" si="2"/>
        <v>345.12620000168596</v>
      </c>
      <c r="D115" t="b">
        <f t="shared" si="3"/>
        <v>0</v>
      </c>
    </row>
    <row r="116" spans="2:4" x14ac:dyDescent="0.4">
      <c r="B116">
        <v>0.34142179999980699</v>
      </c>
      <c r="C116">
        <f t="shared" si="2"/>
        <v>341.42179999980698</v>
      </c>
      <c r="D116" t="b">
        <f t="shared" si="3"/>
        <v>0</v>
      </c>
    </row>
    <row r="117" spans="2:4" x14ac:dyDescent="0.4">
      <c r="B117">
        <v>0.35390159999951698</v>
      </c>
      <c r="C117">
        <f t="shared" si="2"/>
        <v>353.90159999951698</v>
      </c>
      <c r="D117" t="b">
        <f t="shared" si="3"/>
        <v>0</v>
      </c>
    </row>
    <row r="118" spans="2:4" x14ac:dyDescent="0.4">
      <c r="B118">
        <v>0.34721510000053901</v>
      </c>
      <c r="C118">
        <f t="shared" si="2"/>
        <v>347.215100000539</v>
      </c>
      <c r="D118" t="b">
        <f t="shared" si="3"/>
        <v>0</v>
      </c>
    </row>
    <row r="119" spans="2:4" x14ac:dyDescent="0.4">
      <c r="B119">
        <v>0.33381360000021199</v>
      </c>
      <c r="C119">
        <f t="shared" si="2"/>
        <v>333.81360000021198</v>
      </c>
      <c r="D119" t="b">
        <f t="shared" si="3"/>
        <v>0</v>
      </c>
    </row>
    <row r="120" spans="2:4" x14ac:dyDescent="0.4">
      <c r="B120">
        <v>0.353631500000119</v>
      </c>
      <c r="C120">
        <f t="shared" si="2"/>
        <v>353.63150000011899</v>
      </c>
      <c r="D120" t="b">
        <f t="shared" si="3"/>
        <v>0</v>
      </c>
    </row>
    <row r="121" spans="2:4" x14ac:dyDescent="0.4">
      <c r="B121">
        <v>0.35488829999849197</v>
      </c>
      <c r="C121">
        <f t="shared" si="2"/>
        <v>354.88829999849196</v>
      </c>
      <c r="D121" t="b">
        <f t="shared" si="3"/>
        <v>0</v>
      </c>
    </row>
    <row r="122" spans="2:4" x14ac:dyDescent="0.4">
      <c r="B122">
        <v>0.34498030000031499</v>
      </c>
      <c r="C122">
        <f t="shared" si="2"/>
        <v>344.98030000031497</v>
      </c>
      <c r="D122" t="b">
        <f t="shared" si="3"/>
        <v>0</v>
      </c>
    </row>
    <row r="123" spans="2:4" x14ac:dyDescent="0.4">
      <c r="B123">
        <v>0.37626740000087</v>
      </c>
      <c r="C123">
        <f t="shared" si="2"/>
        <v>376.26740000087</v>
      </c>
      <c r="D123" t="b">
        <f t="shared" si="3"/>
        <v>0</v>
      </c>
    </row>
    <row r="124" spans="2:4" x14ac:dyDescent="0.4">
      <c r="B124">
        <v>0.33174129999861102</v>
      </c>
      <c r="C124">
        <f t="shared" si="2"/>
        <v>331.741299998611</v>
      </c>
      <c r="D124" t="b">
        <f t="shared" si="3"/>
        <v>0</v>
      </c>
    </row>
    <row r="125" spans="2:4" x14ac:dyDescent="0.4">
      <c r="B125">
        <v>0.41944759999933001</v>
      </c>
      <c r="C125">
        <f t="shared" si="2"/>
        <v>419.44759999933001</v>
      </c>
      <c r="D125" t="b">
        <f t="shared" si="3"/>
        <v>0</v>
      </c>
    </row>
    <row r="126" spans="2:4" x14ac:dyDescent="0.4">
      <c r="B126">
        <v>0.31856539999898797</v>
      </c>
      <c r="C126">
        <f t="shared" si="2"/>
        <v>318.56539999898797</v>
      </c>
      <c r="D126" t="b">
        <f t="shared" si="3"/>
        <v>0</v>
      </c>
    </row>
    <row r="127" spans="2:4" x14ac:dyDescent="0.4">
      <c r="B127">
        <v>0.37609060000067901</v>
      </c>
      <c r="C127">
        <f t="shared" si="2"/>
        <v>376.09060000067899</v>
      </c>
      <c r="D127" t="b">
        <f t="shared" si="3"/>
        <v>0</v>
      </c>
    </row>
    <row r="128" spans="2:4" x14ac:dyDescent="0.4">
      <c r="B128">
        <v>0.35079969999969701</v>
      </c>
      <c r="C128">
        <f t="shared" si="2"/>
        <v>350.799699999697</v>
      </c>
      <c r="D128" t="b">
        <f t="shared" si="3"/>
        <v>0</v>
      </c>
    </row>
    <row r="129" spans="2:4" x14ac:dyDescent="0.4">
      <c r="B129">
        <v>0.38752070000009498</v>
      </c>
      <c r="C129">
        <f t="shared" si="2"/>
        <v>387.52070000009496</v>
      </c>
      <c r="D129" t="b">
        <f t="shared" si="3"/>
        <v>0</v>
      </c>
    </row>
    <row r="130" spans="2:4" x14ac:dyDescent="0.4">
      <c r="B130">
        <v>0.33737660000042502</v>
      </c>
      <c r="C130">
        <f t="shared" si="2"/>
        <v>337.37660000042501</v>
      </c>
      <c r="D130" t="b">
        <f t="shared" si="3"/>
        <v>0</v>
      </c>
    </row>
    <row r="131" spans="2:4" x14ac:dyDescent="0.4">
      <c r="B131">
        <v>0.32471729999997401</v>
      </c>
      <c r="C131">
        <f t="shared" si="2"/>
        <v>324.71729999997399</v>
      </c>
      <c r="D131" t="b">
        <f t="shared" si="3"/>
        <v>0</v>
      </c>
    </row>
    <row r="132" spans="2:4" x14ac:dyDescent="0.4">
      <c r="B132">
        <v>0.36140469999918401</v>
      </c>
      <c r="C132">
        <f t="shared" ref="C132:C195" si="4">B132*1000</f>
        <v>361.404699999184</v>
      </c>
      <c r="D132" t="b">
        <f t="shared" ref="D132:D195" si="5">OR(C132&lt;($K$3-1.5*$K$5),C132&gt;($K$4+1.5*$K$5))</f>
        <v>0</v>
      </c>
    </row>
    <row r="133" spans="2:4" x14ac:dyDescent="0.4">
      <c r="B133">
        <v>0.433125599998675</v>
      </c>
      <c r="C133">
        <f t="shared" si="4"/>
        <v>433.125599998675</v>
      </c>
      <c r="D133" t="b">
        <f t="shared" si="5"/>
        <v>1</v>
      </c>
    </row>
    <row r="134" spans="2:4" x14ac:dyDescent="0.4">
      <c r="B134">
        <v>0.326278800001091</v>
      </c>
      <c r="C134">
        <f t="shared" si="4"/>
        <v>326.27880000109099</v>
      </c>
      <c r="D134" t="b">
        <f t="shared" si="5"/>
        <v>0</v>
      </c>
    </row>
    <row r="135" spans="2:4" x14ac:dyDescent="0.4">
      <c r="B135">
        <v>0.34131030000025903</v>
      </c>
      <c r="C135">
        <f t="shared" si="4"/>
        <v>341.31030000025902</v>
      </c>
      <c r="D135" t="b">
        <f t="shared" si="5"/>
        <v>0</v>
      </c>
    </row>
    <row r="136" spans="2:4" x14ac:dyDescent="0.4">
      <c r="B136">
        <v>0.37279209999905999</v>
      </c>
      <c r="C136">
        <f t="shared" si="4"/>
        <v>372.79209999905999</v>
      </c>
      <c r="D136" t="b">
        <f t="shared" si="5"/>
        <v>0</v>
      </c>
    </row>
    <row r="137" spans="2:4" x14ac:dyDescent="0.4">
      <c r="B137">
        <v>0.327609300000403</v>
      </c>
      <c r="C137">
        <f t="shared" si="4"/>
        <v>327.60930000040298</v>
      </c>
      <c r="D137" t="b">
        <f t="shared" si="5"/>
        <v>0</v>
      </c>
    </row>
    <row r="138" spans="2:4" x14ac:dyDescent="0.4">
      <c r="B138">
        <v>0.35768019999886702</v>
      </c>
      <c r="C138">
        <f t="shared" si="4"/>
        <v>357.68019999886701</v>
      </c>
      <c r="D138" t="b">
        <f t="shared" si="5"/>
        <v>0</v>
      </c>
    </row>
    <row r="139" spans="2:4" x14ac:dyDescent="0.4">
      <c r="B139">
        <v>0.33402969999951798</v>
      </c>
      <c r="C139">
        <f t="shared" si="4"/>
        <v>334.02969999951796</v>
      </c>
      <c r="D139" t="b">
        <f t="shared" si="5"/>
        <v>0</v>
      </c>
    </row>
    <row r="140" spans="2:4" x14ac:dyDescent="0.4">
      <c r="B140">
        <v>0.32023239999943998</v>
      </c>
      <c r="C140">
        <f t="shared" si="4"/>
        <v>320.23239999943996</v>
      </c>
      <c r="D140" t="b">
        <f t="shared" si="5"/>
        <v>0</v>
      </c>
    </row>
    <row r="141" spans="2:4" x14ac:dyDescent="0.4">
      <c r="B141">
        <v>0.36221119999936402</v>
      </c>
      <c r="C141">
        <f t="shared" si="4"/>
        <v>362.211199999364</v>
      </c>
      <c r="D141" t="b">
        <f t="shared" si="5"/>
        <v>0</v>
      </c>
    </row>
    <row r="142" spans="2:4" x14ac:dyDescent="0.4">
      <c r="B142">
        <v>0.33001660000081701</v>
      </c>
      <c r="C142">
        <f t="shared" si="4"/>
        <v>330.01660000081699</v>
      </c>
      <c r="D142" t="b">
        <f t="shared" si="5"/>
        <v>0</v>
      </c>
    </row>
    <row r="143" spans="2:4" x14ac:dyDescent="0.4">
      <c r="B143">
        <v>0.33125789999939997</v>
      </c>
      <c r="C143">
        <f t="shared" si="4"/>
        <v>331.25789999939997</v>
      </c>
      <c r="D143" t="b">
        <f t="shared" si="5"/>
        <v>0</v>
      </c>
    </row>
    <row r="144" spans="2:4" x14ac:dyDescent="0.4">
      <c r="B144">
        <v>0.316764799999873</v>
      </c>
      <c r="C144">
        <f t="shared" si="4"/>
        <v>316.76479999987299</v>
      </c>
      <c r="D144" t="b">
        <f t="shared" si="5"/>
        <v>0</v>
      </c>
    </row>
    <row r="145" spans="2:4" x14ac:dyDescent="0.4">
      <c r="B145">
        <v>0.34334239999952798</v>
      </c>
      <c r="C145">
        <f t="shared" si="4"/>
        <v>343.34239999952797</v>
      </c>
      <c r="D145" t="b">
        <f t="shared" si="5"/>
        <v>0</v>
      </c>
    </row>
    <row r="146" spans="2:4" x14ac:dyDescent="0.4">
      <c r="B146">
        <v>0.34099420000165898</v>
      </c>
      <c r="C146">
        <f t="shared" si="4"/>
        <v>340.99420000165895</v>
      </c>
      <c r="D146" t="b">
        <f t="shared" si="5"/>
        <v>0</v>
      </c>
    </row>
    <row r="147" spans="2:4" x14ac:dyDescent="0.4">
      <c r="B147">
        <v>0.32271319999927001</v>
      </c>
      <c r="C147">
        <f t="shared" si="4"/>
        <v>322.71319999926999</v>
      </c>
      <c r="D147" t="b">
        <f t="shared" si="5"/>
        <v>0</v>
      </c>
    </row>
    <row r="148" spans="2:4" x14ac:dyDescent="0.4">
      <c r="B148">
        <v>0.33351709999988</v>
      </c>
      <c r="C148">
        <f t="shared" si="4"/>
        <v>333.51709999987997</v>
      </c>
      <c r="D148" t="b">
        <f t="shared" si="5"/>
        <v>0</v>
      </c>
    </row>
    <row r="149" spans="2:4" x14ac:dyDescent="0.4">
      <c r="B149">
        <v>0.35062210000069099</v>
      </c>
      <c r="C149">
        <f t="shared" si="4"/>
        <v>350.62210000069098</v>
      </c>
      <c r="D149" t="b">
        <f t="shared" si="5"/>
        <v>0</v>
      </c>
    </row>
    <row r="150" spans="2:4" x14ac:dyDescent="0.4">
      <c r="B150">
        <v>0.35182750000058099</v>
      </c>
      <c r="C150">
        <f t="shared" si="4"/>
        <v>351.82750000058098</v>
      </c>
      <c r="D150" t="b">
        <f t="shared" si="5"/>
        <v>0</v>
      </c>
    </row>
    <row r="151" spans="2:4" x14ac:dyDescent="0.4">
      <c r="B151">
        <v>0.34200389999932601</v>
      </c>
      <c r="C151">
        <f t="shared" si="4"/>
        <v>342.00389999932599</v>
      </c>
      <c r="D151" t="b">
        <f t="shared" si="5"/>
        <v>0</v>
      </c>
    </row>
    <row r="152" spans="2:4" x14ac:dyDescent="0.4">
      <c r="B152">
        <v>0.367591899999752</v>
      </c>
      <c r="C152">
        <f t="shared" si="4"/>
        <v>367.591899999752</v>
      </c>
      <c r="D152" t="b">
        <f t="shared" si="5"/>
        <v>0</v>
      </c>
    </row>
    <row r="153" spans="2:4" x14ac:dyDescent="0.4">
      <c r="B153">
        <v>0.32887080000000402</v>
      </c>
      <c r="C153">
        <f t="shared" si="4"/>
        <v>328.87080000000401</v>
      </c>
      <c r="D153" t="b">
        <f t="shared" si="5"/>
        <v>0</v>
      </c>
    </row>
    <row r="154" spans="2:4" x14ac:dyDescent="0.4">
      <c r="B154">
        <v>0.34341320000021303</v>
      </c>
      <c r="C154">
        <f t="shared" si="4"/>
        <v>343.41320000021301</v>
      </c>
      <c r="D154" t="b">
        <f t="shared" si="5"/>
        <v>0</v>
      </c>
    </row>
    <row r="155" spans="2:4" x14ac:dyDescent="0.4">
      <c r="B155">
        <v>0.37724379999963198</v>
      </c>
      <c r="C155">
        <f t="shared" si="4"/>
        <v>377.24379999963196</v>
      </c>
      <c r="D155" t="b">
        <f t="shared" si="5"/>
        <v>0</v>
      </c>
    </row>
    <row r="156" spans="2:4" x14ac:dyDescent="0.4">
      <c r="B156">
        <v>0.31105079999906499</v>
      </c>
      <c r="C156">
        <f t="shared" si="4"/>
        <v>311.05079999906496</v>
      </c>
      <c r="D156" t="b">
        <f t="shared" si="5"/>
        <v>0</v>
      </c>
    </row>
    <row r="157" spans="2:4" x14ac:dyDescent="0.4">
      <c r="B157">
        <v>0.37682230000063999</v>
      </c>
      <c r="C157">
        <f t="shared" si="4"/>
        <v>376.82230000063998</v>
      </c>
      <c r="D157" t="b">
        <f t="shared" si="5"/>
        <v>0</v>
      </c>
    </row>
    <row r="158" spans="2:4" x14ac:dyDescent="0.4">
      <c r="B158">
        <v>0.335149100001217</v>
      </c>
      <c r="C158">
        <f t="shared" si="4"/>
        <v>335.14910000121699</v>
      </c>
      <c r="D158" t="b">
        <f t="shared" si="5"/>
        <v>0</v>
      </c>
    </row>
    <row r="159" spans="2:4" x14ac:dyDescent="0.4">
      <c r="B159">
        <v>0.34863050000058099</v>
      </c>
      <c r="C159">
        <f t="shared" si="4"/>
        <v>348.63050000058098</v>
      </c>
      <c r="D159" t="b">
        <f t="shared" si="5"/>
        <v>0</v>
      </c>
    </row>
    <row r="160" spans="2:4" x14ac:dyDescent="0.4">
      <c r="B160">
        <v>0.36110029999872401</v>
      </c>
      <c r="C160">
        <f t="shared" si="4"/>
        <v>361.10029999872398</v>
      </c>
      <c r="D160" t="b">
        <f t="shared" si="5"/>
        <v>0</v>
      </c>
    </row>
    <row r="161" spans="2:4" x14ac:dyDescent="0.4">
      <c r="B161">
        <v>0.32994460000008902</v>
      </c>
      <c r="C161">
        <f t="shared" si="4"/>
        <v>329.944600000089</v>
      </c>
      <c r="D161" t="b">
        <f t="shared" si="5"/>
        <v>0</v>
      </c>
    </row>
    <row r="162" spans="2:4" x14ac:dyDescent="0.4">
      <c r="B162">
        <v>0.32729530000142398</v>
      </c>
      <c r="C162">
        <f t="shared" si="4"/>
        <v>327.29530000142398</v>
      </c>
      <c r="D162" t="b">
        <f t="shared" si="5"/>
        <v>0</v>
      </c>
    </row>
    <row r="163" spans="2:4" x14ac:dyDescent="0.4">
      <c r="B163">
        <v>0.31457559999944301</v>
      </c>
      <c r="C163">
        <f t="shared" si="4"/>
        <v>314.575599999443</v>
      </c>
      <c r="D163" t="b">
        <f t="shared" si="5"/>
        <v>0</v>
      </c>
    </row>
    <row r="164" spans="2:4" x14ac:dyDescent="0.4">
      <c r="B164">
        <v>0.314943499999571</v>
      </c>
      <c r="C164">
        <f t="shared" si="4"/>
        <v>314.94349999957097</v>
      </c>
      <c r="D164" t="b">
        <f t="shared" si="5"/>
        <v>0</v>
      </c>
    </row>
    <row r="165" spans="2:4" x14ac:dyDescent="0.4">
      <c r="B165">
        <v>0.35032830000090998</v>
      </c>
      <c r="C165">
        <f t="shared" si="4"/>
        <v>350.32830000090996</v>
      </c>
      <c r="D165" t="b">
        <f t="shared" si="5"/>
        <v>0</v>
      </c>
    </row>
    <row r="166" spans="2:4" x14ac:dyDescent="0.4">
      <c r="B166">
        <v>0.30418559999998201</v>
      </c>
      <c r="C166">
        <f t="shared" si="4"/>
        <v>304.185599999982</v>
      </c>
      <c r="D166" t="b">
        <f t="shared" si="5"/>
        <v>0</v>
      </c>
    </row>
    <row r="167" spans="2:4" x14ac:dyDescent="0.4">
      <c r="B167">
        <v>0.33611209999980901</v>
      </c>
      <c r="C167">
        <f t="shared" si="4"/>
        <v>336.112099999809</v>
      </c>
      <c r="D167" t="b">
        <f t="shared" si="5"/>
        <v>0</v>
      </c>
    </row>
    <row r="168" spans="2:4" x14ac:dyDescent="0.4">
      <c r="B168">
        <v>0.35305700000026202</v>
      </c>
      <c r="C168">
        <f t="shared" si="4"/>
        <v>353.05700000026201</v>
      </c>
      <c r="D168" t="b">
        <f t="shared" si="5"/>
        <v>0</v>
      </c>
    </row>
    <row r="169" spans="2:4" x14ac:dyDescent="0.4">
      <c r="B169">
        <v>0.32282950000080701</v>
      </c>
      <c r="C169">
        <f t="shared" si="4"/>
        <v>322.829500000807</v>
      </c>
      <c r="D169" t="b">
        <f t="shared" si="5"/>
        <v>0</v>
      </c>
    </row>
    <row r="170" spans="2:4" x14ac:dyDescent="0.4">
      <c r="B170">
        <v>0.35905540000021502</v>
      </c>
      <c r="C170">
        <f t="shared" si="4"/>
        <v>359.055400000215</v>
      </c>
      <c r="D170" t="b">
        <f t="shared" si="5"/>
        <v>0</v>
      </c>
    </row>
    <row r="171" spans="2:4" x14ac:dyDescent="0.4">
      <c r="B171">
        <v>0.32874219999939602</v>
      </c>
      <c r="C171">
        <f t="shared" si="4"/>
        <v>328.74219999939601</v>
      </c>
      <c r="D171" t="b">
        <f t="shared" si="5"/>
        <v>0</v>
      </c>
    </row>
    <row r="172" spans="2:4" x14ac:dyDescent="0.4">
      <c r="B172">
        <v>0.32197260000066302</v>
      </c>
      <c r="C172">
        <f t="shared" si="4"/>
        <v>321.97260000066302</v>
      </c>
      <c r="D172" t="b">
        <f t="shared" si="5"/>
        <v>0</v>
      </c>
    </row>
    <row r="173" spans="2:4" x14ac:dyDescent="0.4">
      <c r="B173">
        <v>0.33145830000103099</v>
      </c>
      <c r="C173">
        <f t="shared" si="4"/>
        <v>331.45830000103098</v>
      </c>
      <c r="D173" t="b">
        <f t="shared" si="5"/>
        <v>0</v>
      </c>
    </row>
    <row r="174" spans="2:4" x14ac:dyDescent="0.4">
      <c r="B174">
        <v>0.34691510000084202</v>
      </c>
      <c r="C174">
        <f t="shared" si="4"/>
        <v>346.91510000084202</v>
      </c>
      <c r="D174" t="b">
        <f t="shared" si="5"/>
        <v>0</v>
      </c>
    </row>
    <row r="175" spans="2:4" x14ac:dyDescent="0.4">
      <c r="B175">
        <v>0.31606149999970501</v>
      </c>
      <c r="C175">
        <f t="shared" si="4"/>
        <v>316.06149999970501</v>
      </c>
      <c r="D175" t="b">
        <f t="shared" si="5"/>
        <v>0</v>
      </c>
    </row>
    <row r="176" spans="2:4" x14ac:dyDescent="0.4">
      <c r="B176">
        <v>0.36683939999966197</v>
      </c>
      <c r="C176">
        <f t="shared" si="4"/>
        <v>366.83939999966196</v>
      </c>
      <c r="D176" t="b">
        <f t="shared" si="5"/>
        <v>0</v>
      </c>
    </row>
    <row r="177" spans="2:4" x14ac:dyDescent="0.4">
      <c r="B177">
        <v>0.34272409999903097</v>
      </c>
      <c r="C177">
        <f t="shared" si="4"/>
        <v>342.72409999903095</v>
      </c>
      <c r="D177" t="b">
        <f t="shared" si="5"/>
        <v>0</v>
      </c>
    </row>
    <row r="178" spans="2:4" x14ac:dyDescent="0.4">
      <c r="B178">
        <v>0.34071279999989201</v>
      </c>
      <c r="C178">
        <f t="shared" si="4"/>
        <v>340.71279999989201</v>
      </c>
      <c r="D178" t="b">
        <f t="shared" si="5"/>
        <v>0</v>
      </c>
    </row>
    <row r="179" spans="2:4" x14ac:dyDescent="0.4">
      <c r="B179">
        <v>0.349094399998648</v>
      </c>
      <c r="C179">
        <f t="shared" si="4"/>
        <v>349.09439999864799</v>
      </c>
      <c r="D179" t="b">
        <f t="shared" si="5"/>
        <v>0</v>
      </c>
    </row>
    <row r="180" spans="2:4" x14ac:dyDescent="0.4">
      <c r="B180">
        <v>0.3370034999989</v>
      </c>
      <c r="C180">
        <f t="shared" si="4"/>
        <v>337.0034999989</v>
      </c>
      <c r="D180" t="b">
        <f t="shared" si="5"/>
        <v>0</v>
      </c>
    </row>
    <row r="181" spans="2:4" x14ac:dyDescent="0.4">
      <c r="B181">
        <v>0.37514659999942501</v>
      </c>
      <c r="C181">
        <f t="shared" si="4"/>
        <v>375.14659999942501</v>
      </c>
      <c r="D181" t="b">
        <f t="shared" si="5"/>
        <v>0</v>
      </c>
    </row>
    <row r="182" spans="2:4" x14ac:dyDescent="0.4">
      <c r="B182">
        <v>0.33442860000104702</v>
      </c>
      <c r="C182">
        <f t="shared" si="4"/>
        <v>334.42860000104702</v>
      </c>
      <c r="D182" t="b">
        <f t="shared" si="5"/>
        <v>0</v>
      </c>
    </row>
    <row r="183" spans="2:4" x14ac:dyDescent="0.4">
      <c r="B183">
        <v>0.33543710000048998</v>
      </c>
      <c r="C183">
        <f t="shared" si="4"/>
        <v>335.43710000048998</v>
      </c>
      <c r="D183" t="b">
        <f t="shared" si="5"/>
        <v>0</v>
      </c>
    </row>
    <row r="184" spans="2:4" x14ac:dyDescent="0.4">
      <c r="B184">
        <v>0.37746189999961599</v>
      </c>
      <c r="C184">
        <f t="shared" si="4"/>
        <v>377.46189999961598</v>
      </c>
      <c r="D184" t="b">
        <f t="shared" si="5"/>
        <v>0</v>
      </c>
    </row>
    <row r="185" spans="2:4" x14ac:dyDescent="0.4">
      <c r="B185">
        <v>0.42130179999912798</v>
      </c>
      <c r="C185">
        <f t="shared" si="4"/>
        <v>421.30179999912798</v>
      </c>
      <c r="D185" t="b">
        <f t="shared" si="5"/>
        <v>1</v>
      </c>
    </row>
    <row r="186" spans="2:4" x14ac:dyDescent="0.4">
      <c r="B186">
        <v>0.36698360000082098</v>
      </c>
      <c r="C186">
        <f t="shared" si="4"/>
        <v>366.98360000082096</v>
      </c>
      <c r="D186" t="b">
        <f t="shared" si="5"/>
        <v>0</v>
      </c>
    </row>
    <row r="187" spans="2:4" x14ac:dyDescent="0.4">
      <c r="B187">
        <v>0.4145795000004</v>
      </c>
      <c r="C187">
        <f t="shared" si="4"/>
        <v>414.5795000004</v>
      </c>
      <c r="D187" t="b">
        <f t="shared" si="5"/>
        <v>0</v>
      </c>
    </row>
    <row r="188" spans="2:4" x14ac:dyDescent="0.4">
      <c r="B188">
        <v>0.32194159999926297</v>
      </c>
      <c r="C188">
        <f t="shared" si="4"/>
        <v>321.94159999926296</v>
      </c>
      <c r="D188" t="b">
        <f t="shared" si="5"/>
        <v>0</v>
      </c>
    </row>
    <row r="189" spans="2:4" x14ac:dyDescent="0.4">
      <c r="B189">
        <v>0.35409249999975101</v>
      </c>
      <c r="C189">
        <f t="shared" si="4"/>
        <v>354.092499999751</v>
      </c>
      <c r="D189" t="b">
        <f t="shared" si="5"/>
        <v>0</v>
      </c>
    </row>
    <row r="190" spans="2:4" x14ac:dyDescent="0.4">
      <c r="B190">
        <v>0.33487929999864702</v>
      </c>
      <c r="C190">
        <f t="shared" si="4"/>
        <v>334.87929999864701</v>
      </c>
      <c r="D190" t="b">
        <f t="shared" si="5"/>
        <v>0</v>
      </c>
    </row>
    <row r="191" spans="2:4" x14ac:dyDescent="0.4">
      <c r="B191">
        <v>0.31493170000067</v>
      </c>
      <c r="C191">
        <f t="shared" si="4"/>
        <v>314.93170000066999</v>
      </c>
      <c r="D191" t="b">
        <f t="shared" si="5"/>
        <v>0</v>
      </c>
    </row>
    <row r="192" spans="2:4" x14ac:dyDescent="0.4">
      <c r="B192">
        <v>0.39136150000012998</v>
      </c>
      <c r="C192">
        <f t="shared" si="4"/>
        <v>391.36150000012998</v>
      </c>
      <c r="D192" t="b">
        <f t="shared" si="5"/>
        <v>0</v>
      </c>
    </row>
    <row r="193" spans="2:4" x14ac:dyDescent="0.4">
      <c r="B193">
        <v>0.31671590000041699</v>
      </c>
      <c r="C193">
        <f t="shared" si="4"/>
        <v>316.71590000041698</v>
      </c>
      <c r="D193" t="b">
        <f t="shared" si="5"/>
        <v>0</v>
      </c>
    </row>
    <row r="194" spans="2:4" x14ac:dyDescent="0.4">
      <c r="B194">
        <v>0.33646419999968202</v>
      </c>
      <c r="C194">
        <f t="shared" si="4"/>
        <v>336.46419999968202</v>
      </c>
      <c r="D194" t="b">
        <f t="shared" si="5"/>
        <v>0</v>
      </c>
    </row>
    <row r="195" spans="2:4" x14ac:dyDescent="0.4">
      <c r="B195">
        <v>0.33315640000000701</v>
      </c>
      <c r="C195">
        <f t="shared" si="4"/>
        <v>333.15640000000701</v>
      </c>
      <c r="D195" t="b">
        <f t="shared" si="5"/>
        <v>0</v>
      </c>
    </row>
    <row r="196" spans="2:4" x14ac:dyDescent="0.4">
      <c r="B196">
        <v>0.32238610000058499</v>
      </c>
      <c r="C196">
        <f t="shared" ref="C196:C259" si="6">B196*1000</f>
        <v>322.38610000058497</v>
      </c>
      <c r="D196" t="b">
        <f t="shared" ref="D196:D259" si="7">OR(C196&lt;($K$3-1.5*$K$5),C196&gt;($K$4+1.5*$K$5))</f>
        <v>0</v>
      </c>
    </row>
    <row r="197" spans="2:4" x14ac:dyDescent="0.4">
      <c r="B197">
        <v>0.33823010000014597</v>
      </c>
      <c r="C197">
        <f t="shared" si="6"/>
        <v>338.23010000014597</v>
      </c>
      <c r="D197" t="b">
        <f t="shared" si="7"/>
        <v>0</v>
      </c>
    </row>
    <row r="198" spans="2:4" x14ac:dyDescent="0.4">
      <c r="B198">
        <v>0.32930320000014002</v>
      </c>
      <c r="C198">
        <f t="shared" si="6"/>
        <v>329.30320000014001</v>
      </c>
      <c r="D198" t="b">
        <f t="shared" si="7"/>
        <v>0</v>
      </c>
    </row>
    <row r="199" spans="2:4" x14ac:dyDescent="0.4">
      <c r="B199">
        <v>0.31589600000006601</v>
      </c>
      <c r="C199">
        <f t="shared" si="6"/>
        <v>315.89600000006601</v>
      </c>
      <c r="D199" t="b">
        <f t="shared" si="7"/>
        <v>0</v>
      </c>
    </row>
    <row r="200" spans="2:4" x14ac:dyDescent="0.4">
      <c r="B200">
        <v>0.35320589999901097</v>
      </c>
      <c r="C200">
        <f t="shared" si="6"/>
        <v>353.20589999901097</v>
      </c>
      <c r="D200" t="b">
        <f t="shared" si="7"/>
        <v>0</v>
      </c>
    </row>
    <row r="201" spans="2:4" x14ac:dyDescent="0.4">
      <c r="B201">
        <v>0.31449090000023699</v>
      </c>
      <c r="C201">
        <f t="shared" si="6"/>
        <v>314.49090000023699</v>
      </c>
      <c r="D201" t="b">
        <f t="shared" si="7"/>
        <v>0</v>
      </c>
    </row>
    <row r="202" spans="2:4" x14ac:dyDescent="0.4">
      <c r="B202">
        <v>0.308537800001431</v>
      </c>
      <c r="C202">
        <f t="shared" si="6"/>
        <v>308.53780000143098</v>
      </c>
      <c r="D202" t="b">
        <f t="shared" si="7"/>
        <v>0</v>
      </c>
    </row>
    <row r="203" spans="2:4" x14ac:dyDescent="0.4">
      <c r="B203">
        <v>0.31563099999948402</v>
      </c>
      <c r="C203">
        <f t="shared" si="6"/>
        <v>315.630999999484</v>
      </c>
      <c r="D203" t="b">
        <f t="shared" si="7"/>
        <v>0</v>
      </c>
    </row>
    <row r="204" spans="2:4" x14ac:dyDescent="0.4">
      <c r="B204">
        <v>0.34010999999918501</v>
      </c>
      <c r="C204">
        <f t="shared" si="6"/>
        <v>340.10999999918499</v>
      </c>
      <c r="D204" t="b">
        <f t="shared" si="7"/>
        <v>0</v>
      </c>
    </row>
    <row r="205" spans="2:4" x14ac:dyDescent="0.4">
      <c r="B205">
        <v>0.348983800000496</v>
      </c>
      <c r="C205">
        <f t="shared" si="6"/>
        <v>348.98380000049599</v>
      </c>
      <c r="D205" t="b">
        <f t="shared" si="7"/>
        <v>0</v>
      </c>
    </row>
    <row r="206" spans="2:4" x14ac:dyDescent="0.4">
      <c r="B206">
        <v>0.31463400000029601</v>
      </c>
      <c r="C206">
        <f t="shared" si="6"/>
        <v>314.634000000296</v>
      </c>
      <c r="D206" t="b">
        <f t="shared" si="7"/>
        <v>0</v>
      </c>
    </row>
    <row r="207" spans="2:4" x14ac:dyDescent="0.4">
      <c r="B207">
        <v>0.33002210000086002</v>
      </c>
      <c r="C207">
        <f t="shared" si="6"/>
        <v>330.02210000086001</v>
      </c>
      <c r="D207" t="b">
        <f t="shared" si="7"/>
        <v>0</v>
      </c>
    </row>
    <row r="208" spans="2:4" x14ac:dyDescent="0.4">
      <c r="B208">
        <v>0.34143989999938601</v>
      </c>
      <c r="C208">
        <f t="shared" si="6"/>
        <v>341.439899999386</v>
      </c>
      <c r="D208" t="b">
        <f t="shared" si="7"/>
        <v>0</v>
      </c>
    </row>
    <row r="209" spans="2:4" x14ac:dyDescent="0.4">
      <c r="B209">
        <v>0.32651030000124498</v>
      </c>
      <c r="C209">
        <f t="shared" si="6"/>
        <v>326.51030000124496</v>
      </c>
      <c r="D209" t="b">
        <f t="shared" si="7"/>
        <v>0</v>
      </c>
    </row>
    <row r="210" spans="2:4" x14ac:dyDescent="0.4">
      <c r="B210">
        <v>0.32466430000022201</v>
      </c>
      <c r="C210">
        <f t="shared" si="6"/>
        <v>324.664300000222</v>
      </c>
      <c r="D210" t="b">
        <f t="shared" si="7"/>
        <v>0</v>
      </c>
    </row>
    <row r="211" spans="2:4" x14ac:dyDescent="0.4">
      <c r="B211">
        <v>0.30517460000009999</v>
      </c>
      <c r="C211">
        <f t="shared" si="6"/>
        <v>305.17460000009999</v>
      </c>
      <c r="D211" t="b">
        <f t="shared" si="7"/>
        <v>0</v>
      </c>
    </row>
    <row r="212" spans="2:4" x14ac:dyDescent="0.4">
      <c r="B212">
        <v>0.40857670000150298</v>
      </c>
      <c r="C212">
        <f t="shared" si="6"/>
        <v>408.57670000150296</v>
      </c>
      <c r="D212" t="b">
        <f t="shared" si="7"/>
        <v>0</v>
      </c>
    </row>
    <row r="213" spans="2:4" x14ac:dyDescent="0.4">
      <c r="B213">
        <v>0.31415300000116902</v>
      </c>
      <c r="C213">
        <f t="shared" si="6"/>
        <v>314.153000001169</v>
      </c>
      <c r="D213" t="b">
        <f t="shared" si="7"/>
        <v>0</v>
      </c>
    </row>
    <row r="214" spans="2:4" x14ac:dyDescent="0.4">
      <c r="B214">
        <v>0.44148089999907802</v>
      </c>
      <c r="C214">
        <f t="shared" si="6"/>
        <v>441.48089999907802</v>
      </c>
      <c r="D214" t="b">
        <f t="shared" si="7"/>
        <v>1</v>
      </c>
    </row>
    <row r="215" spans="2:4" x14ac:dyDescent="0.4">
      <c r="B215">
        <v>0.28715639999973003</v>
      </c>
      <c r="C215">
        <f t="shared" si="6"/>
        <v>287.15639999973001</v>
      </c>
      <c r="D215" t="b">
        <f t="shared" si="7"/>
        <v>0</v>
      </c>
    </row>
    <row r="216" spans="2:4" x14ac:dyDescent="0.4">
      <c r="B216">
        <v>0.35638699999981299</v>
      </c>
      <c r="C216">
        <f t="shared" si="6"/>
        <v>356.38699999981299</v>
      </c>
      <c r="D216" t="b">
        <f t="shared" si="7"/>
        <v>0</v>
      </c>
    </row>
    <row r="217" spans="2:4" x14ac:dyDescent="0.4">
      <c r="B217">
        <v>0.32794239999930103</v>
      </c>
      <c r="C217">
        <f t="shared" si="6"/>
        <v>327.94239999930102</v>
      </c>
      <c r="D217" t="b">
        <f t="shared" si="7"/>
        <v>0</v>
      </c>
    </row>
    <row r="218" spans="2:4" x14ac:dyDescent="0.4">
      <c r="B218">
        <v>0.34913720000076798</v>
      </c>
      <c r="C218">
        <f t="shared" si="6"/>
        <v>349.13720000076796</v>
      </c>
      <c r="D218" t="b">
        <f t="shared" si="7"/>
        <v>0</v>
      </c>
    </row>
    <row r="219" spans="2:4" x14ac:dyDescent="0.4">
      <c r="B219">
        <v>0.34702020000077</v>
      </c>
      <c r="C219">
        <f t="shared" si="6"/>
        <v>347.02020000076999</v>
      </c>
      <c r="D219" t="b">
        <f t="shared" si="7"/>
        <v>0</v>
      </c>
    </row>
    <row r="220" spans="2:4" x14ac:dyDescent="0.4">
      <c r="B220">
        <v>0.34249260000069598</v>
      </c>
      <c r="C220">
        <f t="shared" si="6"/>
        <v>342.49260000069597</v>
      </c>
      <c r="D220" t="b">
        <f t="shared" si="7"/>
        <v>0</v>
      </c>
    </row>
    <row r="221" spans="2:4" x14ac:dyDescent="0.4">
      <c r="B221">
        <v>0.35862090000045999</v>
      </c>
      <c r="C221">
        <f t="shared" si="6"/>
        <v>358.62090000045998</v>
      </c>
      <c r="D221" t="b">
        <f t="shared" si="7"/>
        <v>0</v>
      </c>
    </row>
    <row r="222" spans="2:4" x14ac:dyDescent="0.4">
      <c r="B222">
        <v>0.33714920000056697</v>
      </c>
      <c r="C222">
        <f t="shared" si="6"/>
        <v>337.14920000056696</v>
      </c>
      <c r="D222" t="b">
        <f t="shared" si="7"/>
        <v>0</v>
      </c>
    </row>
    <row r="223" spans="2:4" x14ac:dyDescent="0.4">
      <c r="B223">
        <v>0.332135999999081</v>
      </c>
      <c r="C223">
        <f t="shared" si="6"/>
        <v>332.13599999908098</v>
      </c>
      <c r="D223" t="b">
        <f t="shared" si="7"/>
        <v>0</v>
      </c>
    </row>
    <row r="224" spans="2:4" x14ac:dyDescent="0.4">
      <c r="B224">
        <v>0.41291389999969302</v>
      </c>
      <c r="C224">
        <f t="shared" si="6"/>
        <v>412.913899999693</v>
      </c>
      <c r="D224" t="b">
        <f t="shared" si="7"/>
        <v>0</v>
      </c>
    </row>
    <row r="225" spans="2:4" x14ac:dyDescent="0.4">
      <c r="B225">
        <v>0.34163789999911298</v>
      </c>
      <c r="C225">
        <f t="shared" si="6"/>
        <v>341.63789999911296</v>
      </c>
      <c r="D225" t="b">
        <f t="shared" si="7"/>
        <v>0</v>
      </c>
    </row>
    <row r="226" spans="2:4" x14ac:dyDescent="0.4">
      <c r="B226">
        <v>0.393225800000436</v>
      </c>
      <c r="C226">
        <f t="shared" si="6"/>
        <v>393.22580000043598</v>
      </c>
      <c r="D226" t="b">
        <f t="shared" si="7"/>
        <v>0</v>
      </c>
    </row>
    <row r="227" spans="2:4" x14ac:dyDescent="0.4">
      <c r="B227">
        <v>0.33047359999909498</v>
      </c>
      <c r="C227">
        <f t="shared" si="6"/>
        <v>330.47359999909497</v>
      </c>
      <c r="D227" t="b">
        <f t="shared" si="7"/>
        <v>0</v>
      </c>
    </row>
    <row r="228" spans="2:4" x14ac:dyDescent="0.4">
      <c r="B228">
        <v>0.40728479999961498</v>
      </c>
      <c r="C228">
        <f t="shared" si="6"/>
        <v>407.28479999961496</v>
      </c>
      <c r="D228" t="b">
        <f t="shared" si="7"/>
        <v>0</v>
      </c>
    </row>
    <row r="229" spans="2:4" x14ac:dyDescent="0.4">
      <c r="B229">
        <v>0.39712120000149298</v>
      </c>
      <c r="C229">
        <f t="shared" si="6"/>
        <v>397.12120000149298</v>
      </c>
      <c r="D229" t="b">
        <f t="shared" si="7"/>
        <v>0</v>
      </c>
    </row>
    <row r="230" spans="2:4" x14ac:dyDescent="0.4">
      <c r="B230">
        <v>0.36252559999957101</v>
      </c>
      <c r="C230">
        <f t="shared" si="6"/>
        <v>362.525599999571</v>
      </c>
      <c r="D230" t="b">
        <f t="shared" si="7"/>
        <v>0</v>
      </c>
    </row>
    <row r="231" spans="2:4" x14ac:dyDescent="0.4">
      <c r="B231">
        <v>0.33463070000107098</v>
      </c>
      <c r="C231">
        <f t="shared" si="6"/>
        <v>334.63070000107098</v>
      </c>
      <c r="D231" t="b">
        <f t="shared" si="7"/>
        <v>0</v>
      </c>
    </row>
    <row r="232" spans="2:4" x14ac:dyDescent="0.4">
      <c r="B232">
        <v>0.37634220000108998</v>
      </c>
      <c r="C232">
        <f t="shared" si="6"/>
        <v>376.34220000108996</v>
      </c>
      <c r="D232" t="b">
        <f t="shared" si="7"/>
        <v>0</v>
      </c>
    </row>
    <row r="233" spans="2:4" x14ac:dyDescent="0.4">
      <c r="B233">
        <v>0.36427069999990602</v>
      </c>
      <c r="C233">
        <f t="shared" si="6"/>
        <v>364.27069999990601</v>
      </c>
      <c r="D233" t="b">
        <f t="shared" si="7"/>
        <v>0</v>
      </c>
    </row>
    <row r="234" spans="2:4" x14ac:dyDescent="0.4">
      <c r="B234">
        <v>0.33424340000055902</v>
      </c>
      <c r="C234">
        <f t="shared" si="6"/>
        <v>334.24340000055901</v>
      </c>
      <c r="D234" t="b">
        <f t="shared" si="7"/>
        <v>0</v>
      </c>
    </row>
    <row r="235" spans="2:4" x14ac:dyDescent="0.4">
      <c r="B235">
        <v>0.39152680000006501</v>
      </c>
      <c r="C235">
        <f t="shared" si="6"/>
        <v>391.52680000006501</v>
      </c>
      <c r="D235" t="b">
        <f t="shared" si="7"/>
        <v>0</v>
      </c>
    </row>
    <row r="236" spans="2:4" x14ac:dyDescent="0.4">
      <c r="B236">
        <v>0.30515569999988601</v>
      </c>
      <c r="C236">
        <f t="shared" si="6"/>
        <v>305.155699999886</v>
      </c>
      <c r="D236" t="b">
        <f t="shared" si="7"/>
        <v>0</v>
      </c>
    </row>
    <row r="237" spans="2:4" x14ac:dyDescent="0.4">
      <c r="B237">
        <v>0.337496100000862</v>
      </c>
      <c r="C237">
        <f t="shared" si="6"/>
        <v>337.49610000086199</v>
      </c>
      <c r="D237" t="b">
        <f t="shared" si="7"/>
        <v>0</v>
      </c>
    </row>
    <row r="238" spans="2:4" x14ac:dyDescent="0.4">
      <c r="B238">
        <v>0.38246609999987402</v>
      </c>
      <c r="C238">
        <f t="shared" si="6"/>
        <v>382.46609999987402</v>
      </c>
      <c r="D238" t="b">
        <f t="shared" si="7"/>
        <v>0</v>
      </c>
    </row>
    <row r="239" spans="2:4" x14ac:dyDescent="0.4">
      <c r="B239">
        <v>0.31956960000024898</v>
      </c>
      <c r="C239">
        <f t="shared" si="6"/>
        <v>319.56960000024895</v>
      </c>
      <c r="D239" t="b">
        <f t="shared" si="7"/>
        <v>0</v>
      </c>
    </row>
    <row r="240" spans="2:4" x14ac:dyDescent="0.4">
      <c r="B240">
        <v>0.38427220000084999</v>
      </c>
      <c r="C240">
        <f t="shared" si="6"/>
        <v>384.27220000084998</v>
      </c>
      <c r="D240" t="b">
        <f t="shared" si="7"/>
        <v>0</v>
      </c>
    </row>
    <row r="241" spans="2:4" x14ac:dyDescent="0.4">
      <c r="B241">
        <v>0.36445569999887001</v>
      </c>
      <c r="C241">
        <f t="shared" si="6"/>
        <v>364.45569999886999</v>
      </c>
      <c r="D241" t="b">
        <f t="shared" si="7"/>
        <v>0</v>
      </c>
    </row>
    <row r="242" spans="2:4" x14ac:dyDescent="0.4">
      <c r="B242">
        <v>0.32330090000141298</v>
      </c>
      <c r="C242">
        <f t="shared" si="6"/>
        <v>323.30090000141297</v>
      </c>
      <c r="D242" t="b">
        <f t="shared" si="7"/>
        <v>0</v>
      </c>
    </row>
    <row r="243" spans="2:4" x14ac:dyDescent="0.4">
      <c r="B243">
        <v>0.35974879999957898</v>
      </c>
      <c r="C243">
        <f t="shared" si="6"/>
        <v>359.74879999957898</v>
      </c>
      <c r="D243" t="b">
        <f t="shared" si="7"/>
        <v>0</v>
      </c>
    </row>
    <row r="244" spans="2:4" x14ac:dyDescent="0.4">
      <c r="B244">
        <v>0.30769089999921501</v>
      </c>
      <c r="C244">
        <f t="shared" si="6"/>
        <v>307.69089999921499</v>
      </c>
      <c r="D244" t="b">
        <f t="shared" si="7"/>
        <v>0</v>
      </c>
    </row>
    <row r="245" spans="2:4" x14ac:dyDescent="0.4">
      <c r="B245">
        <v>0.34172659999967397</v>
      </c>
      <c r="C245">
        <f t="shared" si="6"/>
        <v>341.72659999967397</v>
      </c>
      <c r="D245" t="b">
        <f t="shared" si="7"/>
        <v>0</v>
      </c>
    </row>
    <row r="246" spans="2:4" x14ac:dyDescent="0.4">
      <c r="B246">
        <v>0.31887779999851701</v>
      </c>
      <c r="C246">
        <f t="shared" si="6"/>
        <v>318.87779999851699</v>
      </c>
      <c r="D246" t="b">
        <f t="shared" si="7"/>
        <v>0</v>
      </c>
    </row>
    <row r="247" spans="2:4" x14ac:dyDescent="0.4">
      <c r="B247">
        <v>0.34254949999922202</v>
      </c>
      <c r="C247">
        <f t="shared" si="6"/>
        <v>342.54949999922201</v>
      </c>
      <c r="D247" t="b">
        <f t="shared" si="7"/>
        <v>0</v>
      </c>
    </row>
    <row r="248" spans="2:4" x14ac:dyDescent="0.4">
      <c r="B248">
        <v>0.33371470000019998</v>
      </c>
      <c r="C248">
        <f t="shared" si="6"/>
        <v>333.71470000019997</v>
      </c>
      <c r="D248" t="b">
        <f t="shared" si="7"/>
        <v>0</v>
      </c>
    </row>
    <row r="249" spans="2:4" x14ac:dyDescent="0.4">
      <c r="B249">
        <v>0.315767300000516</v>
      </c>
      <c r="C249">
        <f t="shared" si="6"/>
        <v>315.767300000516</v>
      </c>
      <c r="D249" t="b">
        <f t="shared" si="7"/>
        <v>0</v>
      </c>
    </row>
    <row r="250" spans="2:4" x14ac:dyDescent="0.4">
      <c r="B250">
        <v>0.31782139999995701</v>
      </c>
      <c r="C250">
        <f t="shared" si="6"/>
        <v>317.82139999995701</v>
      </c>
      <c r="D250" t="b">
        <f t="shared" si="7"/>
        <v>0</v>
      </c>
    </row>
    <row r="251" spans="2:4" x14ac:dyDescent="0.4">
      <c r="B251">
        <v>0.37349809999977801</v>
      </c>
      <c r="C251">
        <f t="shared" si="6"/>
        <v>373.49809999977799</v>
      </c>
      <c r="D251" t="b">
        <f t="shared" si="7"/>
        <v>0</v>
      </c>
    </row>
    <row r="252" spans="2:4" x14ac:dyDescent="0.4">
      <c r="B252">
        <v>0.31155480000052099</v>
      </c>
      <c r="C252">
        <f t="shared" si="6"/>
        <v>311.55480000052097</v>
      </c>
      <c r="D252" t="b">
        <f t="shared" si="7"/>
        <v>0</v>
      </c>
    </row>
    <row r="253" spans="2:4" x14ac:dyDescent="0.4">
      <c r="B253">
        <v>0.33747490000132502</v>
      </c>
      <c r="C253">
        <f t="shared" si="6"/>
        <v>337.47490000132501</v>
      </c>
      <c r="D253" t="b">
        <f t="shared" si="7"/>
        <v>0</v>
      </c>
    </row>
    <row r="254" spans="2:4" x14ac:dyDescent="0.4">
      <c r="B254">
        <v>0.37020039999879301</v>
      </c>
      <c r="C254">
        <f t="shared" si="6"/>
        <v>370.20039999879299</v>
      </c>
      <c r="D254" t="b">
        <f t="shared" si="7"/>
        <v>0</v>
      </c>
    </row>
    <row r="255" spans="2:4" x14ac:dyDescent="0.4">
      <c r="B255">
        <v>0.38549759999841599</v>
      </c>
      <c r="C255">
        <f t="shared" si="6"/>
        <v>385.49759999841598</v>
      </c>
      <c r="D255" t="b">
        <f t="shared" si="7"/>
        <v>0</v>
      </c>
    </row>
    <row r="256" spans="2:4" x14ac:dyDescent="0.4">
      <c r="B256">
        <v>0.46419719999903403</v>
      </c>
      <c r="C256">
        <f t="shared" si="6"/>
        <v>464.19719999903401</v>
      </c>
      <c r="D256" t="b">
        <f t="shared" si="7"/>
        <v>1</v>
      </c>
    </row>
    <row r="257" spans="2:4" x14ac:dyDescent="0.4">
      <c r="B257">
        <v>0.419518299999253</v>
      </c>
      <c r="C257">
        <f t="shared" si="6"/>
        <v>419.51829999925297</v>
      </c>
      <c r="D257" t="b">
        <f t="shared" si="7"/>
        <v>0</v>
      </c>
    </row>
    <row r="258" spans="2:4" x14ac:dyDescent="0.4">
      <c r="B258">
        <v>0.411259200000131</v>
      </c>
      <c r="C258">
        <f t="shared" si="6"/>
        <v>411.25920000013099</v>
      </c>
      <c r="D258" t="b">
        <f t="shared" si="7"/>
        <v>0</v>
      </c>
    </row>
    <row r="259" spans="2:4" x14ac:dyDescent="0.4">
      <c r="B259">
        <v>0.46365530000002703</v>
      </c>
      <c r="C259">
        <f t="shared" si="6"/>
        <v>463.65530000002701</v>
      </c>
      <c r="D259" t="b">
        <f t="shared" si="7"/>
        <v>1</v>
      </c>
    </row>
    <row r="260" spans="2:4" x14ac:dyDescent="0.4">
      <c r="B260">
        <v>0.44977260000086899</v>
      </c>
      <c r="C260">
        <f t="shared" ref="C260:C302" si="8">B260*1000</f>
        <v>449.77260000086898</v>
      </c>
      <c r="D260" t="b">
        <f t="shared" ref="D260:D301" si="9">OR(C260&lt;($K$3-1.5*$K$5),C260&gt;($K$4+1.5*$K$5))</f>
        <v>1</v>
      </c>
    </row>
    <row r="261" spans="2:4" x14ac:dyDescent="0.4">
      <c r="B261">
        <v>0.47564550000060901</v>
      </c>
      <c r="C261">
        <f t="shared" si="8"/>
        <v>475.64550000060899</v>
      </c>
      <c r="D261" t="b">
        <f t="shared" si="9"/>
        <v>1</v>
      </c>
    </row>
    <row r="262" spans="2:4" x14ac:dyDescent="0.4">
      <c r="B262">
        <v>0.33623129999978102</v>
      </c>
      <c r="C262">
        <f t="shared" si="8"/>
        <v>336.23129999978102</v>
      </c>
      <c r="D262" t="b">
        <f t="shared" si="9"/>
        <v>0</v>
      </c>
    </row>
    <row r="263" spans="2:4" x14ac:dyDescent="0.4">
      <c r="B263">
        <v>0.32636480000110102</v>
      </c>
      <c r="C263">
        <f t="shared" si="8"/>
        <v>326.364800001101</v>
      </c>
      <c r="D263" t="b">
        <f t="shared" si="9"/>
        <v>0</v>
      </c>
    </row>
    <row r="264" spans="2:4" x14ac:dyDescent="0.4">
      <c r="B264">
        <v>0.36123269999916302</v>
      </c>
      <c r="C264">
        <f t="shared" si="8"/>
        <v>361.232699999163</v>
      </c>
      <c r="D264" t="b">
        <f t="shared" si="9"/>
        <v>0</v>
      </c>
    </row>
    <row r="265" spans="2:4" x14ac:dyDescent="0.4">
      <c r="B265">
        <v>0.33560669999860598</v>
      </c>
      <c r="C265">
        <f t="shared" si="8"/>
        <v>335.60669999860596</v>
      </c>
      <c r="D265" t="b">
        <f t="shared" si="9"/>
        <v>0</v>
      </c>
    </row>
    <row r="266" spans="2:4" x14ac:dyDescent="0.4">
      <c r="B266">
        <v>0.34512840000024803</v>
      </c>
      <c r="C266">
        <f t="shared" si="8"/>
        <v>345.12840000024801</v>
      </c>
      <c r="D266" t="b">
        <f t="shared" si="9"/>
        <v>0</v>
      </c>
    </row>
    <row r="267" spans="2:4" x14ac:dyDescent="0.4">
      <c r="B267">
        <v>0.36475000000064001</v>
      </c>
      <c r="C267">
        <f t="shared" si="8"/>
        <v>364.75000000064</v>
      </c>
      <c r="D267" t="b">
        <f t="shared" si="9"/>
        <v>0</v>
      </c>
    </row>
    <row r="268" spans="2:4" x14ac:dyDescent="0.4">
      <c r="B268">
        <v>0.34013070000037199</v>
      </c>
      <c r="C268">
        <f t="shared" si="8"/>
        <v>340.13070000037197</v>
      </c>
      <c r="D268" t="b">
        <f t="shared" si="9"/>
        <v>0</v>
      </c>
    </row>
    <row r="269" spans="2:4" x14ac:dyDescent="0.4">
      <c r="B269">
        <v>0.32921739999983402</v>
      </c>
      <c r="C269">
        <f t="shared" si="8"/>
        <v>329.21739999983402</v>
      </c>
      <c r="D269" t="b">
        <f t="shared" si="9"/>
        <v>0</v>
      </c>
    </row>
    <row r="270" spans="2:4" x14ac:dyDescent="0.4">
      <c r="B270">
        <v>0.31059889999960399</v>
      </c>
      <c r="C270">
        <f t="shared" si="8"/>
        <v>310.59889999960399</v>
      </c>
      <c r="D270" t="b">
        <f t="shared" si="9"/>
        <v>0</v>
      </c>
    </row>
    <row r="271" spans="2:4" x14ac:dyDescent="0.4">
      <c r="B271">
        <v>0.42826309999873002</v>
      </c>
      <c r="C271">
        <f t="shared" si="8"/>
        <v>428.26309999873001</v>
      </c>
      <c r="D271" t="b">
        <f t="shared" si="9"/>
        <v>1</v>
      </c>
    </row>
    <row r="272" spans="2:4" x14ac:dyDescent="0.4">
      <c r="B272">
        <v>0.35197620000144503</v>
      </c>
      <c r="C272">
        <f t="shared" si="8"/>
        <v>351.97620000144502</v>
      </c>
      <c r="D272" t="b">
        <f t="shared" si="9"/>
        <v>0</v>
      </c>
    </row>
    <row r="273" spans="2:4" x14ac:dyDescent="0.4">
      <c r="B273">
        <v>0.32245809999949399</v>
      </c>
      <c r="C273">
        <f t="shared" si="8"/>
        <v>322.45809999949398</v>
      </c>
      <c r="D273" t="b">
        <f t="shared" si="9"/>
        <v>0</v>
      </c>
    </row>
    <row r="274" spans="2:4" x14ac:dyDescent="0.4">
      <c r="B274">
        <v>0.351574299998901</v>
      </c>
      <c r="C274">
        <f t="shared" si="8"/>
        <v>351.57429999890098</v>
      </c>
      <c r="D274" t="b">
        <f t="shared" si="9"/>
        <v>0</v>
      </c>
    </row>
    <row r="275" spans="2:4" x14ac:dyDescent="0.4">
      <c r="B275">
        <v>0.36722329999975001</v>
      </c>
      <c r="C275">
        <f t="shared" si="8"/>
        <v>367.22329999975</v>
      </c>
      <c r="D275" t="b">
        <f t="shared" si="9"/>
        <v>0</v>
      </c>
    </row>
    <row r="276" spans="2:4" x14ac:dyDescent="0.4">
      <c r="B276">
        <v>0.31693839999934398</v>
      </c>
      <c r="C276">
        <f t="shared" si="8"/>
        <v>316.93839999934397</v>
      </c>
      <c r="D276" t="b">
        <f t="shared" si="9"/>
        <v>0</v>
      </c>
    </row>
    <row r="277" spans="2:4" x14ac:dyDescent="0.4">
      <c r="B277">
        <v>0.33187089999955699</v>
      </c>
      <c r="C277">
        <f t="shared" si="8"/>
        <v>331.87089999955697</v>
      </c>
      <c r="D277" t="b">
        <f t="shared" si="9"/>
        <v>0</v>
      </c>
    </row>
    <row r="278" spans="2:4" x14ac:dyDescent="0.4">
      <c r="B278">
        <v>0.30658159999984402</v>
      </c>
      <c r="C278">
        <f t="shared" si="8"/>
        <v>306.581599999844</v>
      </c>
      <c r="D278" t="b">
        <f t="shared" si="9"/>
        <v>0</v>
      </c>
    </row>
    <row r="279" spans="2:4" x14ac:dyDescent="0.4">
      <c r="B279">
        <v>0.31517040000107899</v>
      </c>
      <c r="C279">
        <f t="shared" si="8"/>
        <v>315.17040000107897</v>
      </c>
      <c r="D279" t="b">
        <f t="shared" si="9"/>
        <v>0</v>
      </c>
    </row>
    <row r="280" spans="2:4" x14ac:dyDescent="0.4">
      <c r="B280">
        <v>0.32891869999912099</v>
      </c>
      <c r="C280">
        <f t="shared" si="8"/>
        <v>328.91869999912097</v>
      </c>
      <c r="D280" t="b">
        <f t="shared" si="9"/>
        <v>0</v>
      </c>
    </row>
    <row r="281" spans="2:4" x14ac:dyDescent="0.4">
      <c r="B281">
        <v>0.31628910000108501</v>
      </c>
      <c r="C281">
        <f t="shared" si="8"/>
        <v>316.28910000108499</v>
      </c>
      <c r="D281" t="b">
        <f t="shared" si="9"/>
        <v>0</v>
      </c>
    </row>
    <row r="282" spans="2:4" x14ac:dyDescent="0.4">
      <c r="B282">
        <v>0.39391579999937598</v>
      </c>
      <c r="C282">
        <f t="shared" si="8"/>
        <v>393.91579999937596</v>
      </c>
      <c r="D282" t="b">
        <f t="shared" si="9"/>
        <v>0</v>
      </c>
    </row>
    <row r="283" spans="2:4" x14ac:dyDescent="0.4">
      <c r="B283">
        <v>0.36660769999980403</v>
      </c>
      <c r="C283">
        <f t="shared" si="8"/>
        <v>366.60769999980403</v>
      </c>
      <c r="D283" t="b">
        <f t="shared" si="9"/>
        <v>0</v>
      </c>
    </row>
    <row r="284" spans="2:4" x14ac:dyDescent="0.4">
      <c r="B284">
        <v>0.32271930000024401</v>
      </c>
      <c r="C284">
        <f t="shared" si="8"/>
        <v>322.719300000244</v>
      </c>
      <c r="D284" t="b">
        <f t="shared" si="9"/>
        <v>0</v>
      </c>
    </row>
    <row r="285" spans="2:4" x14ac:dyDescent="0.4">
      <c r="B285">
        <v>0.34820570000010698</v>
      </c>
      <c r="C285">
        <f t="shared" si="8"/>
        <v>348.20570000010696</v>
      </c>
      <c r="D285" t="b">
        <f t="shared" si="9"/>
        <v>0</v>
      </c>
    </row>
    <row r="286" spans="2:4" x14ac:dyDescent="0.4">
      <c r="B286">
        <v>0.24795669999912201</v>
      </c>
      <c r="C286">
        <f t="shared" si="8"/>
        <v>247.95669999912201</v>
      </c>
      <c r="D286" t="b">
        <f t="shared" si="9"/>
        <v>1</v>
      </c>
    </row>
    <row r="287" spans="2:4" x14ac:dyDescent="0.4">
      <c r="B287">
        <v>0.25975529999959601</v>
      </c>
      <c r="C287">
        <f t="shared" si="8"/>
        <v>259.75529999959599</v>
      </c>
      <c r="D287" t="b">
        <f t="shared" si="9"/>
        <v>0</v>
      </c>
    </row>
    <row r="288" spans="2:4" x14ac:dyDescent="0.4">
      <c r="B288">
        <v>0.37086860000090299</v>
      </c>
      <c r="C288">
        <f t="shared" si="8"/>
        <v>370.86860000090297</v>
      </c>
      <c r="D288" t="b">
        <f t="shared" si="9"/>
        <v>0</v>
      </c>
    </row>
    <row r="289" spans="2:4" x14ac:dyDescent="0.4">
      <c r="B289">
        <v>0.310030799999367</v>
      </c>
      <c r="C289">
        <f t="shared" si="8"/>
        <v>310.03079999936699</v>
      </c>
      <c r="D289" t="b">
        <f t="shared" si="9"/>
        <v>0</v>
      </c>
    </row>
    <row r="290" spans="2:4" x14ac:dyDescent="0.4">
      <c r="B290">
        <v>0.29129730000022303</v>
      </c>
      <c r="C290">
        <f t="shared" si="8"/>
        <v>291.297300000223</v>
      </c>
      <c r="D290" t="b">
        <f t="shared" si="9"/>
        <v>0</v>
      </c>
    </row>
    <row r="291" spans="2:4" x14ac:dyDescent="0.4">
      <c r="B291">
        <v>0.33235590000003801</v>
      </c>
      <c r="C291">
        <f t="shared" si="8"/>
        <v>332.35590000003799</v>
      </c>
      <c r="D291" t="b">
        <f t="shared" si="9"/>
        <v>0</v>
      </c>
    </row>
    <row r="292" spans="2:4" x14ac:dyDescent="0.4">
      <c r="B292">
        <v>0.32103219999953497</v>
      </c>
      <c r="C292">
        <f t="shared" si="8"/>
        <v>321.03219999953495</v>
      </c>
      <c r="D292" t="b">
        <f t="shared" si="9"/>
        <v>0</v>
      </c>
    </row>
    <row r="293" spans="2:4" x14ac:dyDescent="0.4">
      <c r="B293">
        <v>0.37503649999962302</v>
      </c>
      <c r="C293">
        <f t="shared" si="8"/>
        <v>375.036499999623</v>
      </c>
      <c r="D293" t="b">
        <f t="shared" si="9"/>
        <v>0</v>
      </c>
    </row>
    <row r="294" spans="2:4" x14ac:dyDescent="0.4">
      <c r="B294">
        <v>0.35055230000034499</v>
      </c>
      <c r="C294">
        <f t="shared" si="8"/>
        <v>350.55230000034499</v>
      </c>
      <c r="D294" t="b">
        <f t="shared" si="9"/>
        <v>0</v>
      </c>
    </row>
    <row r="295" spans="2:4" x14ac:dyDescent="0.4">
      <c r="B295">
        <v>0.31347940000159702</v>
      </c>
      <c r="C295">
        <f t="shared" si="8"/>
        <v>313.47940000159701</v>
      </c>
      <c r="D295" t="b">
        <f t="shared" si="9"/>
        <v>0</v>
      </c>
    </row>
    <row r="296" spans="2:4" x14ac:dyDescent="0.4">
      <c r="B296">
        <v>0.33858419999887701</v>
      </c>
      <c r="C296">
        <f t="shared" si="8"/>
        <v>338.58419999887701</v>
      </c>
      <c r="D296" t="b">
        <f t="shared" si="9"/>
        <v>0</v>
      </c>
    </row>
    <row r="297" spans="2:4" x14ac:dyDescent="0.4">
      <c r="B297">
        <v>0.31174209999880897</v>
      </c>
      <c r="C297">
        <f t="shared" si="8"/>
        <v>311.74209999880895</v>
      </c>
      <c r="D297" t="b">
        <f t="shared" si="9"/>
        <v>0</v>
      </c>
    </row>
    <row r="298" spans="2:4" x14ac:dyDescent="0.4">
      <c r="B298">
        <v>0.29961239999829498</v>
      </c>
      <c r="C298">
        <f t="shared" si="8"/>
        <v>299.61239999829496</v>
      </c>
      <c r="D298" t="b">
        <f t="shared" si="9"/>
        <v>0</v>
      </c>
    </row>
    <row r="299" spans="2:4" x14ac:dyDescent="0.4">
      <c r="B299">
        <v>0.38884660000076099</v>
      </c>
      <c r="C299">
        <f t="shared" si="8"/>
        <v>388.84660000076099</v>
      </c>
      <c r="D299" t="b">
        <f t="shared" si="9"/>
        <v>0</v>
      </c>
    </row>
    <row r="300" spans="2:4" x14ac:dyDescent="0.4">
      <c r="B300">
        <v>0.33786460000010199</v>
      </c>
      <c r="C300">
        <f t="shared" si="8"/>
        <v>337.86460000010197</v>
      </c>
      <c r="D300" t="b">
        <f t="shared" si="9"/>
        <v>0</v>
      </c>
    </row>
    <row r="301" spans="2:4" x14ac:dyDescent="0.4">
      <c r="B301">
        <v>0.39873670000088102</v>
      </c>
      <c r="C301">
        <f t="shared" si="8"/>
        <v>398.736700000881</v>
      </c>
      <c r="D301" t="b">
        <f t="shared" si="9"/>
        <v>0</v>
      </c>
    </row>
    <row r="302" spans="2:4" x14ac:dyDescent="0.4">
      <c r="B302">
        <v>0.30537490000097001</v>
      </c>
      <c r="C302">
        <f t="shared" si="8"/>
        <v>305.37490000097</v>
      </c>
      <c r="D302" t="b">
        <f>OR(C302&lt;($K$3-1.5*$K$5),C302&gt;($K$4+1.5*$K$5))</f>
        <v>0</v>
      </c>
    </row>
  </sheetData>
  <autoFilter ref="C2:D302" xr:uid="{CAC5E319-4D15-41F0-A25D-7BBB6BE18D94}"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StressTestDataStats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**** ***</cp:lastModifiedBy>
  <dcterms:created xsi:type="dcterms:W3CDTF">2026-04-21T13:49:08Z</dcterms:created>
  <dcterms:modified xsi:type="dcterms:W3CDTF">2026-04-21T19:32:52Z</dcterms:modified>
</cp:coreProperties>
</file>